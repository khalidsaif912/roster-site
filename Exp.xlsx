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2" activeTab="4" autoFilterDateGrouping="1"/>
  </bookViews>
  <sheets>
    <sheet xmlns:r="http://schemas.openxmlformats.org/officeDocument/2006/relationships" name="لوحة_المناوبات" sheetId="1" state="visible" r:id="rId1"/>
    <sheet xmlns:r="http://schemas.openxmlformats.org/officeDocument/2006/relationships" name="Setting " sheetId="2" state="hidden" r:id="rId2"/>
    <sheet xmlns:r="http://schemas.openxmlformats.org/officeDocument/2006/relationships" name="master" sheetId="3" state="hidden" r:id="rId3"/>
    <sheet xmlns:r="http://schemas.openxmlformats.org/officeDocument/2006/relationships" name="Officers" sheetId="4" state="visible" r:id="rId4"/>
    <sheet xmlns:r="http://schemas.openxmlformats.org/officeDocument/2006/relationships" name="Supervisors" sheetId="5" state="visible" r:id="rId5"/>
    <sheet xmlns:r="http://schemas.openxmlformats.org/officeDocument/2006/relationships" name="Export Checker" sheetId="6" state="visible" r:id="rId6"/>
    <sheet xmlns:r="http://schemas.openxmlformats.org/officeDocument/2006/relationships" name="Load Control" sheetId="7" state="visible" r:id="rId7"/>
    <sheet xmlns:r="http://schemas.openxmlformats.org/officeDocument/2006/relationships" name="Export Operators" sheetId="8" state="visible" r:id="rId8"/>
    <sheet xmlns:r="http://schemas.openxmlformats.org/officeDocument/2006/relationships" name="Flight Attending" sheetId="9" state="hidden" r:id="rId9"/>
    <sheet xmlns:r="http://schemas.openxmlformats.org/officeDocument/2006/relationships" name="Acceptance" sheetId="10" state="visible" r:id="rId10"/>
  </sheets>
  <definedNames>
    <definedName name="setting_MonthList">'Setting '!$A$2:$A$13</definedName>
    <definedName name="Settings_Holidays">OFFSET('Setting '!$G$1,1,0,COUNTA('Setting '!$G:$G)-1,1)</definedName>
    <definedName name="Settings_ShiftLegends">OFFSET('Setting '!$K$1,1,0,COUNTA('Setting '!$K:$K)-1,1)</definedName>
    <definedName name="Settings_Weekend">OFFSET('Setting '!$E$1,1,0,COUNTA('Setting '!$E:$E)-1,1)</definedName>
    <definedName name="Settings_YearList">OFFSET('Setting '!$C$1,1,0,COUNTA('Setting '!$C:$C)-1,1)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[$-409]d\-mmm\-yy;@"/>
    <numFmt numFmtId="165" formatCode="dd\-mm\-yyyy"/>
    <numFmt numFmtId="166" formatCode="dd"/>
  </numFmts>
  <fonts count="16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22"/>
      <scheme val="minor"/>
    </font>
    <font>
      <name val="Calibri"/>
      <family val="2"/>
      <b val="1"/>
      <color theme="1"/>
      <sz val="18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FF0000"/>
      <sz val="12"/>
      <scheme val="minor"/>
    </font>
    <font>
      <name val="Calibri"/>
      <family val="2"/>
      <b val="1"/>
      <color theme="1"/>
      <sz val="20"/>
      <scheme val="minor"/>
    </font>
    <font>
      <name val="Calibri"/>
      <family val="2"/>
      <b val="1"/>
      <color theme="1"/>
      <sz val="25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color theme="1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Calibri"/>
      <family val="2"/>
      <color rgb="FFFF0000"/>
      <sz val="14"/>
      <scheme val="minor"/>
    </font>
    <font>
      <name val="Calibri"/>
      <family val="2"/>
      <sz val="8"/>
      <scheme val="minor"/>
    </font>
    <font>
      <name val="Calibri"/>
      <family val="2"/>
      <sz val="12"/>
      <scheme val="minor"/>
    </font>
  </fonts>
  <fills count="7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52">
    <xf numFmtId="0" fontId="0" fillId="0" borderId="0" pivotButton="0" quotePrefix="0" xfId="0"/>
    <xf numFmtId="164" fontId="0" fillId="0" borderId="0" pivotButton="0" quotePrefix="0" xfId="0"/>
    <xf numFmtId="15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2" borderId="1" pivotButton="0" quotePrefix="0" xfId="0"/>
    <xf numFmtId="0" fontId="0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1" applyAlignment="1" pivotButton="0" quotePrefix="0" xfId="0">
      <alignment horizontal="center" vertical="center"/>
    </xf>
    <xf numFmtId="0" fontId="1" fillId="0" borderId="4" pivotButton="0" quotePrefix="0" xfId="0"/>
    <xf numFmtId="0" fontId="1" fillId="3" borderId="1" applyAlignment="1" pivotButton="0" quotePrefix="0" xfId="0">
      <alignment horizontal="center" textRotation="90"/>
    </xf>
    <xf numFmtId="0" fontId="1" fillId="0" borderId="0" pivotButton="0" quotePrefix="0" xfId="0"/>
    <xf numFmtId="166" fontId="1" fillId="3" borderId="1" applyAlignment="1" pivotButton="0" quotePrefix="0" xfId="0">
      <alignment horizontal="center" vertical="center"/>
    </xf>
    <xf numFmtId="0" fontId="4" fillId="0" borderId="0" pivotButton="0" quotePrefix="0" xfId="0"/>
    <xf numFmtId="0" fontId="4" fillId="0" borderId="1" pivotButton="0" quotePrefix="0" xfId="0"/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3" pivotButton="0" quotePrefix="0" xfId="0"/>
    <xf numFmtId="0" fontId="6" fillId="0" borderId="3" applyAlignment="1" applyProtection="1" pivotButton="0" quotePrefix="0" xfId="0">
      <alignment horizontal="center" vertical="center"/>
      <protection locked="0" hidden="0"/>
    </xf>
    <xf numFmtId="0" fontId="9" fillId="5" borderId="14" applyAlignment="1" pivotButton="0" quotePrefix="0" xfId="0">
      <alignment horizontal="center" vertical="center" textRotation="90"/>
    </xf>
    <xf numFmtId="0" fontId="9" fillId="5" borderId="3" applyAlignment="1" pivotButton="0" quotePrefix="0" xfId="0">
      <alignment horizontal="center" vertical="center" textRotation="90"/>
    </xf>
    <xf numFmtId="0" fontId="9" fillId="5" borderId="12" applyAlignment="1" pivotButton="0" quotePrefix="0" xfId="0">
      <alignment horizontal="center" vertical="center" textRotation="90"/>
    </xf>
    <xf numFmtId="0" fontId="10" fillId="5" borderId="15" pivotButton="0" quotePrefix="0" xfId="0"/>
    <xf numFmtId="0" fontId="9" fillId="5" borderId="8" applyAlignment="1" pivotButton="0" quotePrefix="0" xfId="0">
      <alignment horizontal="center" vertical="center"/>
    </xf>
    <xf numFmtId="0" fontId="9" fillId="5" borderId="9" applyAlignment="1" pivotButton="0" quotePrefix="0" xfId="0">
      <alignment horizontal="center" vertical="center"/>
    </xf>
    <xf numFmtId="0" fontId="9" fillId="5" borderId="11" applyAlignment="1" pivotButton="0" quotePrefix="0" xfId="0">
      <alignment horizontal="center" vertical="center"/>
    </xf>
    <xf numFmtId="0" fontId="10" fillId="5" borderId="10" pivotButton="0" quotePrefix="0" xfId="0"/>
    <xf numFmtId="0" fontId="10" fillId="0" borderId="0" pivotButton="0" quotePrefix="0" xfId="0"/>
    <xf numFmtId="0" fontId="9" fillId="0" borderId="1" applyAlignment="1" pivotButton="0" quotePrefix="0" xfId="0">
      <alignment horizontal="center" vertical="center"/>
    </xf>
    <xf numFmtId="0" fontId="13" fillId="0" borderId="0" pivotButton="0" quotePrefix="0" xfId="0"/>
    <xf numFmtId="0" fontId="12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right"/>
    </xf>
    <xf numFmtId="0" fontId="9" fillId="0" borderId="3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0" fontId="9" fillId="5" borderId="19" applyAlignment="1" pivotButton="0" quotePrefix="0" xfId="0">
      <alignment horizontal="center" vertical="center" textRotation="90"/>
    </xf>
    <xf numFmtId="0" fontId="9" fillId="5" borderId="20" applyAlignment="1" pivotButton="0" quotePrefix="0" xfId="0">
      <alignment horizontal="center" vertical="center"/>
    </xf>
    <xf numFmtId="0" fontId="9" fillId="5" borderId="21" applyAlignment="1" pivotButton="0" quotePrefix="0" xfId="0">
      <alignment horizontal="center" vertical="center"/>
    </xf>
    <xf numFmtId="0" fontId="9" fillId="5" borderId="22" applyAlignment="1" pivotButton="0" quotePrefix="0" xfId="0">
      <alignment horizontal="center" vertical="center"/>
    </xf>
    <xf numFmtId="0" fontId="9" fillId="5" borderId="23" pivotButton="0" quotePrefix="0" xfId="0"/>
    <xf numFmtId="0" fontId="9" fillId="5" borderId="24" applyAlignment="1" pivotButton="0" quotePrefix="0" xfId="0">
      <alignment horizontal="center" vertical="center" textRotation="90"/>
    </xf>
    <xf numFmtId="0" fontId="9" fillId="5" borderId="25" applyAlignment="1" pivotButton="0" quotePrefix="0" xfId="0">
      <alignment horizontal="center" vertical="center" textRotation="90"/>
    </xf>
    <xf numFmtId="0" fontId="9" fillId="5" borderId="26" applyAlignment="1" pivotButton="0" quotePrefix="0" xfId="0">
      <alignment horizontal="center" vertical="center" textRotation="90"/>
    </xf>
    <xf numFmtId="0" fontId="9" fillId="5" borderId="27" applyAlignment="1" pivotButton="0" quotePrefix="0" xfId="0">
      <alignment horizontal="center" vertical="center" textRotation="90"/>
    </xf>
    <xf numFmtId="0" fontId="5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1" fillId="0" borderId="5" applyAlignment="1" pivotButton="0" quotePrefix="0" xfId="0">
      <alignment horizontal="left" vertical="center"/>
    </xf>
    <xf numFmtId="0" fontId="11" fillId="0" borderId="6" applyAlignment="1" pivotButton="0" quotePrefix="0" xfId="0">
      <alignment horizontal="left" vertical="center"/>
    </xf>
    <xf numFmtId="0" fontId="4" fillId="6" borderId="1" applyAlignment="1" pivotButton="0" quotePrefix="0" xfId="0">
      <alignment horizontal="center" vertical="center"/>
    </xf>
    <xf numFmtId="0" fontId="4" fillId="6" borderId="5" applyAlignment="1" pivotButton="0" quotePrefix="0" xfId="0">
      <alignment horizontal="center" vertical="center"/>
    </xf>
    <xf numFmtId="0" fontId="9" fillId="0" borderId="31" applyAlignment="1" pivotButton="0" quotePrefix="0" xfId="0">
      <alignment horizontal="center" vertical="center"/>
    </xf>
    <xf numFmtId="0" fontId="9" fillId="0" borderId="8" applyAlignment="1" pivotButton="0" quotePrefix="0" xfId="0">
      <alignment horizontal="center" vertical="center"/>
    </xf>
    <xf numFmtId="0" fontId="6" fillId="0" borderId="34" applyAlignment="1" applyProtection="1" pivotButton="0" quotePrefix="0" xfId="0">
      <alignment horizontal="center" vertical="center"/>
      <protection locked="0" hidden="0"/>
    </xf>
    <xf numFmtId="0" fontId="4" fillId="0" borderId="35" applyAlignment="1" pivotButton="0" quotePrefix="0" xfId="0">
      <alignment horizontal="center" vertical="center"/>
    </xf>
    <xf numFmtId="0" fontId="4" fillId="0" borderId="36" pivotButton="0" quotePrefix="0" xfId="0"/>
    <xf numFmtId="0" fontId="4" fillId="0" borderId="31" applyAlignment="1" pivotButton="0" quotePrefix="0" xfId="0">
      <alignment horizontal="center" vertical="center"/>
    </xf>
    <xf numFmtId="0" fontId="4" fillId="0" borderId="32" pivotButton="0" quotePrefix="0" xfId="0"/>
    <xf numFmtId="0" fontId="4" fillId="0" borderId="8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4" fillId="0" borderId="11" applyAlignment="1" pivotButton="0" quotePrefix="0" xfId="0">
      <alignment horizontal="center" vertical="center"/>
    </xf>
    <xf numFmtId="0" fontId="4" fillId="0" borderId="10" pivotButton="0" quotePrefix="0" xfId="0"/>
    <xf numFmtId="0" fontId="9" fillId="0" borderId="14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/>
    </xf>
    <xf numFmtId="0" fontId="1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0" fontId="9" fillId="0" borderId="5" applyAlignment="1" pivotButton="0" quotePrefix="0" xfId="0">
      <alignment horizontal="right"/>
    </xf>
    <xf numFmtId="0" fontId="9" fillId="0" borderId="6" applyAlignment="1" pivotButton="0" quotePrefix="0" xfId="0">
      <alignment horizontal="right"/>
    </xf>
    <xf numFmtId="0" fontId="12" fillId="0" borderId="1" applyAlignment="1" pivotButton="0" quotePrefix="0" xfId="0">
      <alignment horizontal="right"/>
    </xf>
    <xf numFmtId="0" fontId="9" fillId="0" borderId="13" applyAlignment="1" pivotButton="0" quotePrefix="0" xfId="0">
      <alignment horizontal="center" vertical="center"/>
    </xf>
    <xf numFmtId="0" fontId="9" fillId="0" borderId="1" applyAlignment="1" pivotButton="0" quotePrefix="0" xfId="0">
      <alignment horizontal="right"/>
    </xf>
    <xf numFmtId="0" fontId="7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8" fillId="4" borderId="20" applyAlignment="1" pivotButton="0" quotePrefix="0" xfId="0">
      <alignment horizontal="center"/>
    </xf>
    <xf numFmtId="0" fontId="8" fillId="4" borderId="21" applyAlignment="1" pivotButton="0" quotePrefix="0" xfId="0">
      <alignment horizontal="center"/>
    </xf>
    <xf numFmtId="0" fontId="8" fillId="4" borderId="23" applyAlignment="1" pivotButton="0" quotePrefix="0" xfId="0">
      <alignment horizontal="center"/>
    </xf>
    <xf numFmtId="0" fontId="5" fillId="4" borderId="2" applyAlignment="1" pivotButton="0" quotePrefix="0" xfId="0">
      <alignment horizontal="center" vertical="center" wrapText="1"/>
    </xf>
    <xf numFmtId="0" fontId="5" fillId="4" borderId="4" applyAlignment="1" pivotButton="0" quotePrefix="0" xfId="0">
      <alignment horizontal="center" vertical="center" wrapText="1"/>
    </xf>
    <xf numFmtId="0" fontId="5" fillId="4" borderId="3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center"/>
    </xf>
    <xf numFmtId="0" fontId="11" fillId="0" borderId="5" applyAlignment="1" pivotButton="0" quotePrefix="0" xfId="0">
      <alignment horizontal="left" vertical="center"/>
    </xf>
    <xf numFmtId="0" fontId="11" fillId="0" borderId="6" applyAlignment="1" pivotButton="0" quotePrefix="0" xfId="0">
      <alignment horizontal="left" vertical="center"/>
    </xf>
    <xf numFmtId="0" fontId="12" fillId="0" borderId="5" applyAlignment="1" pivotButton="0" quotePrefix="0" xfId="0">
      <alignment horizontal="left" vertical="center"/>
    </xf>
    <xf numFmtId="0" fontId="12" fillId="0" borderId="6" applyAlignment="1" pivotButton="0" quotePrefix="0" xfId="0">
      <alignment horizontal="left" vertical="center"/>
    </xf>
    <xf numFmtId="0" fontId="11" fillId="0" borderId="1" applyAlignment="1" pivotButton="0" quotePrefix="0" xfId="0">
      <alignment horizontal="center" vertical="center"/>
    </xf>
    <xf numFmtId="0" fontId="11" fillId="0" borderId="5" applyAlignment="1" pivotButton="0" quotePrefix="0" xfId="0">
      <alignment horizontal="center" vertical="center"/>
    </xf>
    <xf numFmtId="0" fontId="7" fillId="0" borderId="28" applyAlignment="1" pivotButton="0" quotePrefix="0" xfId="0">
      <alignment horizontal="center" vertical="center"/>
    </xf>
    <xf numFmtId="0" fontId="7" fillId="0" borderId="29" applyAlignment="1" pivotButton="0" quotePrefix="0" xfId="0">
      <alignment horizontal="center" vertical="center"/>
    </xf>
    <xf numFmtId="0" fontId="7" fillId="0" borderId="30" applyAlignment="1" pivotButton="0" quotePrefix="0" xfId="0">
      <alignment horizontal="center" vertical="center"/>
    </xf>
    <xf numFmtId="0" fontId="7" fillId="0" borderId="37" applyAlignment="1" pivotButton="0" quotePrefix="0" xfId="0">
      <alignment horizontal="center" vertical="center"/>
    </xf>
    <xf numFmtId="0" fontId="7" fillId="0" borderId="38" applyAlignment="1" pivotButton="0" quotePrefix="0" xfId="0">
      <alignment horizontal="center" vertical="center"/>
    </xf>
    <xf numFmtId="0" fontId="7" fillId="0" borderId="39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/>
    </xf>
    <xf numFmtId="0" fontId="12" fillId="0" borderId="5" applyAlignment="1" pivotButton="0" quotePrefix="0" xfId="0">
      <alignment horizontal="right"/>
    </xf>
    <xf numFmtId="0" fontId="12" fillId="0" borderId="6" applyAlignment="1" pivotButton="0" quotePrefix="0" xfId="0">
      <alignment horizontal="right"/>
    </xf>
    <xf numFmtId="0" fontId="8" fillId="4" borderId="5" applyAlignment="1" pivotButton="0" quotePrefix="0" xfId="0">
      <alignment horizontal="center"/>
    </xf>
    <xf numFmtId="0" fontId="8" fillId="4" borderId="13" applyAlignment="1" pivotButton="0" quotePrefix="0" xfId="0">
      <alignment horizontal="center"/>
    </xf>
    <xf numFmtId="0" fontId="8" fillId="4" borderId="6" applyAlignment="1" pivotButton="0" quotePrefix="0" xfId="0">
      <alignment horizontal="center"/>
    </xf>
    <xf numFmtId="0" fontId="11" fillId="0" borderId="12" applyAlignment="1" pivotButton="0" quotePrefix="0" xfId="0">
      <alignment horizontal="left" vertical="center"/>
    </xf>
    <xf numFmtId="0" fontId="11" fillId="0" borderId="18" applyAlignment="1" pivotButton="0" quotePrefix="0" xfId="0">
      <alignment horizontal="left" vertical="center"/>
    </xf>
    <xf numFmtId="0" fontId="11" fillId="0" borderId="6" applyAlignment="1" pivotButton="0" quotePrefix="0" xfId="0">
      <alignment horizontal="center" vertical="center"/>
    </xf>
    <xf numFmtId="0" fontId="7" fillId="0" borderId="16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2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11" fillId="0" borderId="3" applyAlignment="1" pivotButton="0" quotePrefix="0" xfId="0">
      <alignment horizontal="left" vertical="center"/>
    </xf>
    <xf numFmtId="0" fontId="11" fillId="0" borderId="15" applyAlignment="1" pivotButton="0" quotePrefix="0" xfId="0">
      <alignment horizontal="left" vertical="center"/>
    </xf>
    <xf numFmtId="0" fontId="11" fillId="0" borderId="32" applyAlignment="1" pivotButton="0" quotePrefix="0" xfId="0">
      <alignment horizontal="left" vertical="center"/>
    </xf>
    <xf numFmtId="0" fontId="11" fillId="0" borderId="33" applyAlignment="1" pivotButton="0" quotePrefix="0" xfId="0">
      <alignment horizontal="left" vertical="center"/>
    </xf>
    <xf numFmtId="0" fontId="11" fillId="0" borderId="9" applyAlignment="1" pivotButton="0" quotePrefix="0" xfId="0">
      <alignment horizontal="left" vertical="center"/>
    </xf>
    <xf numFmtId="0" fontId="11" fillId="0" borderId="10" applyAlignment="1" pivotButton="0" quotePrefix="0" xfId="0">
      <alignment horizontal="left" vertical="center"/>
    </xf>
    <xf numFmtId="0" fontId="0" fillId="0" borderId="17" pivotButton="0" quotePrefix="0" xfId="0"/>
    <xf numFmtId="0" fontId="0" fillId="0" borderId="13" pivotButton="0" quotePrefix="0" xfId="0"/>
    <xf numFmtId="0" fontId="0" fillId="0" borderId="6" pivotButton="0" quotePrefix="0" xfId="0"/>
    <xf numFmtId="0" fontId="0" fillId="0" borderId="41" pivotButton="0" quotePrefix="0" xfId="0"/>
    <xf numFmtId="0" fontId="0" fillId="0" borderId="19" pivotButton="0" quotePrefix="0" xfId="0"/>
    <xf numFmtId="0" fontId="0" fillId="0" borderId="12" pivotButton="0" quotePrefix="0" xfId="0"/>
    <xf numFmtId="0" fontId="0" fillId="0" borderId="18" pivotButton="0" quotePrefix="0" xfId="0"/>
    <xf numFmtId="0" fontId="0" fillId="0" borderId="43" pivotButton="0" quotePrefix="0" xfId="0"/>
    <xf numFmtId="0" fontId="0" fillId="0" borderId="44" pivotButton="0" quotePrefix="0" xfId="0"/>
    <xf numFmtId="0" fontId="5" fillId="4" borderId="1" applyAlignment="1" pivotButton="0" quotePrefix="0" xfId="0">
      <alignment horizontal="center" vertical="center" wrapText="1"/>
    </xf>
    <xf numFmtId="0" fontId="0" fillId="0" borderId="40" pivotButton="0" quotePrefix="0" xfId="0"/>
    <xf numFmtId="0" fontId="0" fillId="0" borderId="45" pivotButton="0" quotePrefix="0" xfId="0"/>
    <xf numFmtId="0" fontId="7" fillId="0" borderId="46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0" fillId="0" borderId="37" pivotButton="0" quotePrefix="0" xfId="0"/>
    <xf numFmtId="0" fontId="0" fillId="0" borderId="38" pivotButton="0" quotePrefix="0" xfId="0"/>
    <xf numFmtId="0" fontId="0" fillId="0" borderId="39" pivotButton="0" quotePrefix="0" xfId="0"/>
    <xf numFmtId="0" fontId="0" fillId="0" borderId="33" pivotButton="0" quotePrefix="0" xfId="0"/>
    <xf numFmtId="0" fontId="0" fillId="0" borderId="49" pivotButton="0" quotePrefix="0" xfId="0"/>
  </cellXfs>
  <cellStyles count="1">
    <cellStyle name="Normal" xfId="0" builtinId="0"/>
  </cellStyles>
  <dxfs count="150">
    <dxf>
      <font>
        <color auto="1"/>
      </font>
      <fill>
        <patternFill>
          <fgColor auto="1"/>
          <bgColor theme="8" tint="0.3999450666829432"/>
        </patternFill>
      </fill>
    </dxf>
    <dxf>
      <font>
        <color auto="1"/>
      </font>
      <fill>
        <patternFill>
          <bgColor theme="9" tint="0.3999450666829432"/>
        </patternFill>
      </fill>
    </dxf>
    <dxf>
      <font>
        <color auto="1"/>
      </font>
      <fill>
        <patternFill>
          <bgColor theme="7" tint="0.3999450666829432"/>
        </patternFill>
      </fill>
    </dxf>
    <dxf>
      <font>
        <color auto="1"/>
      </font>
      <fill>
        <patternFill>
          <bgColor theme="0" tint="-0.1499679555650502"/>
        </patternFill>
      </fill>
    </dxf>
    <dxf>
      <font>
        <color rgb="FF9C0006"/>
      </font>
      <fill>
        <patternFill>
          <bgColor theme="8" tint="0.3999450666829432"/>
        </patternFill>
      </fill>
    </dxf>
    <dxf>
      <font>
        <color rgb="FF9C0006"/>
      </font>
      <fill>
        <patternFill>
          <bgColor theme="9" tint="0.3999450666829432"/>
        </patternFill>
      </fill>
    </dxf>
    <dxf>
      <font>
        <color rgb="FF9C0006"/>
      </font>
    </dxf>
    <dxf>
      <font>
        <color rgb="FF9C0006"/>
      </font>
      <fill>
        <patternFill>
          <bgColor theme="9" tint="0.3999450666829432"/>
        </patternFill>
      </fill>
    </dxf>
    <dxf>
      <font>
        <color rgb="FF9C0006"/>
      </font>
      <fill>
        <patternFill>
          <bgColor theme="7" tint="0.3999450666829432"/>
        </patternFill>
      </fill>
    </dxf>
    <dxf>
      <font>
        <color rgb="FF9C0006"/>
      </font>
      <fill>
        <patternFill>
          <bgColor theme="8" tint="-0.249946592608417"/>
        </patternFill>
      </fill>
    </dxf>
    <dxf>
      <font>
        <color rgb="FF9C0006"/>
      </font>
      <fill>
        <patternFill>
          <bgColor theme="8" tint="0.3999450666829432"/>
        </patternFill>
      </fill>
    </dxf>
    <dxf>
      <font>
        <color auto="1"/>
      </font>
      <fill>
        <patternFill>
          <fgColor auto="1"/>
          <bgColor theme="8" tint="0.3999450666829432"/>
        </patternFill>
      </fill>
    </dxf>
    <dxf>
      <font>
        <color rgb="FF9C0006"/>
      </font>
      <fill>
        <patternFill>
          <bgColor theme="9" tint="0.3999450666829432"/>
        </patternFill>
      </fill>
    </dxf>
    <dxf>
      <font>
        <color rgb="FF9C0006"/>
      </font>
    </dxf>
    <dxf>
      <font>
        <color rgb="FF9C0006"/>
      </font>
      <fill>
        <patternFill>
          <bgColor theme="4" tint="0.399945066682943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"/>
        </patternFill>
      </fill>
    </dxf>
    <dxf>
      <font>
        <color auto="1"/>
      </font>
      <fill>
        <patternFill>
          <bgColor theme="8" tint="0.3999450666829432"/>
        </patternFill>
      </fill>
    </dxf>
    <dxf>
      <font>
        <color rgb="FF9C0006"/>
      </font>
      <fill>
        <patternFill>
          <bgColor theme="8" tint="0.399945066682943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"/>
        </patternFill>
      </fill>
    </dxf>
    <dxf>
      <font>
        <color auto="1"/>
      </font>
      <fill>
        <patternFill>
          <bgColor theme="7" tint="0.3999450666829432"/>
        </patternFill>
      </fill>
    </dxf>
    <dxf>
      <font>
        <color auto="1"/>
      </font>
      <fill>
        <patternFill>
          <bgColor theme="0" tint="-0.1499679555650502"/>
        </patternFill>
      </fill>
    </dxf>
    <dxf>
      <font>
        <color rgb="FF9C0006"/>
      </font>
      <fill>
        <patternFill>
          <bgColor theme="8" tint="0.399945066682943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9" tint="0.3999450666829432"/>
        </patternFill>
      </fill>
    </dxf>
    <dxf>
      <font>
        <color rgb="FF9C0006"/>
      </font>
      <fill>
        <patternFill>
          <bgColor theme="4" tint="0.399945066682943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"/>
        </patternFill>
      </fill>
    </dxf>
    <dxf>
      <font>
        <color auto="1"/>
      </font>
      <fill>
        <patternFill>
          <bgColor theme="8" tint="0.3999450666829432"/>
        </patternFill>
      </fill>
    </dxf>
    <dxf>
      <font>
        <color rgb="FF9C0006"/>
      </font>
      <fill>
        <patternFill>
          <bgColor theme="8" tint="0.399945066682943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"/>
        </patternFill>
      </fill>
    </dxf>
    <dxf>
      <font>
        <color auto="1"/>
      </font>
      <fill>
        <patternFill>
          <fgColor auto="1"/>
          <bgColor theme="8" tint="0.3999450666829432"/>
        </patternFill>
      </fill>
    </dxf>
    <dxf>
      <font>
        <color auto="1"/>
      </font>
      <fill>
        <patternFill>
          <bgColor theme="9" tint="0.3999450666829432"/>
        </patternFill>
      </fill>
    </dxf>
    <dxf>
      <font>
        <color auto="1"/>
      </font>
      <fill>
        <patternFill>
          <bgColor theme="7" tint="0.3999450666829432"/>
        </patternFill>
      </fill>
    </dxf>
    <dxf>
      <font>
        <color auto="1"/>
      </font>
      <fill>
        <patternFill>
          <bgColor theme="0" tint="-0.1499679555650502"/>
        </patternFill>
      </fill>
    </dxf>
    <dxf>
      <font>
        <color rgb="FF9C0006"/>
      </font>
      <fill>
        <patternFill>
          <bgColor theme="8" tint="0.3999450666829432"/>
        </patternFill>
      </fill>
    </dxf>
    <dxf>
      <font>
        <color rgb="FF9C0006"/>
      </font>
      <fill>
        <patternFill>
          <bgColor theme="9" tint="0.3999450666829432"/>
        </patternFill>
      </fill>
    </dxf>
    <dxf>
      <font>
        <color rgb="FF9C0006"/>
      </font>
    </dxf>
    <dxf>
      <font>
        <color rgb="FF9C0006"/>
      </font>
      <fill>
        <patternFill>
          <bgColor theme="4" tint="0.399945066682943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"/>
        </patternFill>
      </fill>
    </dxf>
    <dxf>
      <font>
        <color auto="1"/>
      </font>
      <fill>
        <patternFill>
          <bgColor theme="8" tint="0.3999450666829432"/>
        </patternFill>
      </fill>
    </dxf>
    <dxf>
      <font>
        <color rgb="FF9C0006"/>
      </font>
      <fill>
        <patternFill>
          <bgColor theme="8" tint="0.399945066682943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"/>
        </patternFill>
      </fill>
    </dxf>
    <dxf>
      <font>
        <color auto="1"/>
      </font>
      <fill>
        <patternFill>
          <fgColor auto="1"/>
          <bgColor theme="8" tint="0.3999450666829432"/>
        </patternFill>
      </fill>
    </dxf>
    <dxf>
      <font>
        <color auto="1"/>
      </font>
      <fill>
        <patternFill>
          <bgColor theme="9" tint="0.3999450666829432"/>
        </patternFill>
      </fill>
    </dxf>
    <dxf>
      <font>
        <color auto="1"/>
      </font>
      <fill>
        <patternFill>
          <bgColor theme="7" tint="0.3999450666829432"/>
        </patternFill>
      </fill>
    </dxf>
    <dxf>
      <font>
        <color auto="1"/>
      </font>
      <fill>
        <patternFill>
          <bgColor theme="0" tint="-0.1499679555650502"/>
        </patternFill>
      </fill>
    </dxf>
    <dxf>
      <font>
        <color rgb="FF9C0006"/>
      </font>
      <fill>
        <patternFill>
          <bgColor theme="8" tint="0.3999450666829432"/>
        </patternFill>
      </fill>
    </dxf>
    <dxf>
      <font>
        <color rgb="FF9C0006"/>
      </font>
      <fill>
        <patternFill>
          <bgColor theme="9" tint="0.3999450666829432"/>
        </patternFill>
      </fill>
    </dxf>
    <dxf>
      <font>
        <color rgb="FF9C0006"/>
      </font>
    </dxf>
    <dxf>
      <font>
        <color auto="1"/>
      </font>
      <fill>
        <patternFill>
          <fgColor auto="1"/>
          <bgColor theme="8" tint="0.3999450666829432"/>
        </patternFill>
      </fill>
    </dxf>
    <dxf>
      <font>
        <color auto="1"/>
      </font>
      <fill>
        <patternFill>
          <bgColor theme="9" tint="0.3999450666829432"/>
        </patternFill>
      </fill>
    </dxf>
    <dxf>
      <font>
        <color auto="1"/>
      </font>
      <fill>
        <patternFill>
          <bgColor theme="7" tint="0.3999450666829432"/>
        </patternFill>
      </fill>
    </dxf>
    <dxf>
      <font>
        <color auto="1"/>
      </font>
      <fill>
        <patternFill>
          <bgColor theme="0" tint="-0.1499679555650502"/>
        </patternFill>
      </fill>
    </dxf>
    <dxf>
      <font>
        <color rgb="FF9C0006"/>
      </font>
      <fill>
        <patternFill>
          <bgColor theme="8" tint="0.3999450666829432"/>
        </patternFill>
      </fill>
    </dxf>
    <dxf>
      <font>
        <color rgb="FF9C0006"/>
      </font>
      <fill>
        <patternFill>
          <bgColor theme="9" tint="0.3999450666829432"/>
        </patternFill>
      </fill>
    </dxf>
    <dxf>
      <font>
        <color rgb="FF9C0006"/>
      </font>
    </dxf>
    <dxf>
      <font>
        <color rgb="FF9C0006"/>
      </font>
      <fill>
        <patternFill>
          <bgColor theme="4" tint="0.399945066682943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"/>
        </patternFill>
      </fill>
    </dxf>
    <dxf>
      <font>
        <color auto="1"/>
      </font>
      <fill>
        <patternFill>
          <bgColor theme="8" tint="0.3999450666829432"/>
        </patternFill>
      </fill>
    </dxf>
    <dxf>
      <font>
        <color rgb="FF9C0006"/>
      </font>
      <fill>
        <patternFill>
          <bgColor theme="8" tint="0.399945066682943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"/>
        </patternFill>
      </fill>
    </dxf>
    <dxf>
      <font>
        <color theme="0"/>
      </font>
      <fill>
        <patternFill>
          <bgColor rgb="FF7030A0"/>
        </patternFill>
      </fill>
    </dxf>
    <dxf>
      <font>
        <color auto="1"/>
      </font>
      <fill>
        <patternFill>
          <fgColor auto="1"/>
          <bgColor theme="8" tint="0.3999450666829432"/>
        </patternFill>
      </fill>
    </dxf>
    <dxf>
      <font>
        <color auto="1"/>
      </font>
      <fill>
        <patternFill>
          <bgColor theme="9" tint="0.3999450666829432"/>
        </patternFill>
      </fill>
    </dxf>
    <dxf>
      <font>
        <color auto="1"/>
      </font>
      <fill>
        <patternFill>
          <bgColor theme="7" tint="0.3999450666829432"/>
        </patternFill>
      </fill>
    </dxf>
    <dxf>
      <font>
        <color auto="1"/>
      </font>
      <fill>
        <patternFill>
          <bgColor theme="0" tint="-0.1499679555650502"/>
        </patternFill>
      </fill>
    </dxf>
    <dxf>
      <font>
        <color rgb="FF9C0006"/>
      </font>
      <fill>
        <patternFill>
          <bgColor theme="8" tint="0.3999450666829432"/>
        </patternFill>
      </fill>
    </dxf>
    <dxf>
      <font>
        <color rgb="FF9C0006"/>
      </font>
      <fill>
        <patternFill>
          <bgColor theme="9" tint="0.3999450666829432"/>
        </patternFill>
      </fill>
    </dxf>
    <dxf>
      <font>
        <color rgb="FF9C0006"/>
      </font>
    </dxf>
    <dxf>
      <font>
        <color theme="0"/>
      </font>
      <fill>
        <patternFill>
          <bgColor rgb="FF7030A0"/>
        </patternFill>
      </fill>
    </dxf>
    <dxf>
      <font>
        <color rgb="FF9C0006"/>
      </font>
      <fill>
        <patternFill>
          <bgColor theme="4" tint="0.399945066682943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"/>
        </patternFill>
      </fill>
    </dxf>
    <dxf>
      <font>
        <color auto="1"/>
      </font>
      <fill>
        <patternFill>
          <bgColor theme="8" tint="0.3999450666829432"/>
        </patternFill>
      </fill>
    </dxf>
    <dxf>
      <font>
        <color rgb="FF9C0006"/>
      </font>
      <fill>
        <patternFill>
          <bgColor theme="8" tint="0.399945066682943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"/>
        </patternFill>
      </fill>
    </dxf>
    <dxf>
      <fill>
        <patternFill>
          <bgColor rgb="FF7030A0"/>
        </patternFill>
      </fill>
    </dxf>
    <dxf>
      <font>
        <color auto="1"/>
      </font>
      <fill>
        <patternFill>
          <fgColor auto="1"/>
          <bgColor theme="8" tint="0.3999450666829432"/>
        </patternFill>
      </fill>
    </dxf>
    <dxf>
      <font>
        <color auto="1"/>
      </font>
      <fill>
        <patternFill>
          <bgColor theme="9" tint="0.3999450666829432"/>
        </patternFill>
      </fill>
    </dxf>
    <dxf>
      <font>
        <color auto="1"/>
      </font>
      <fill>
        <patternFill>
          <bgColor theme="7" tint="0.3999450666829432"/>
        </patternFill>
      </fill>
    </dxf>
    <dxf>
      <font>
        <color auto="1"/>
      </font>
      <fill>
        <patternFill>
          <bgColor theme="0" tint="-0.1499679555650502"/>
        </patternFill>
      </fill>
    </dxf>
    <dxf>
      <font>
        <color rgb="FF9C0006"/>
      </font>
      <fill>
        <patternFill>
          <bgColor theme="8" tint="0.3999450666829432"/>
        </patternFill>
      </fill>
    </dxf>
    <dxf>
      <font>
        <color rgb="FF9C0006"/>
      </font>
      <fill>
        <patternFill>
          <bgColor theme="9" tint="0.3999450666829432"/>
        </patternFill>
      </fill>
    </dxf>
    <dxf>
      <font>
        <color rgb="FF9C0006"/>
      </font>
    </dxf>
    <dxf>
      <font>
        <color rgb="FF9C0006"/>
      </font>
      <fill>
        <patternFill>
          <bgColor theme="4" tint="0.399945066682943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"/>
        </patternFill>
      </fill>
    </dxf>
    <dxf>
      <font>
        <color auto="1"/>
      </font>
      <fill>
        <patternFill>
          <bgColor theme="8" tint="0.3999450666829432"/>
        </patternFill>
      </fill>
    </dxf>
    <dxf>
      <font>
        <color rgb="FF9C0006"/>
      </font>
      <fill>
        <patternFill>
          <bgColor theme="8" tint="0.399945066682943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ont>
        <color auto="1"/>
      </font>
      <fill>
        <patternFill>
          <fgColor auto="1"/>
          <bgColor theme="8" tint="0.3999450666829432"/>
        </patternFill>
      </fill>
    </dxf>
    <dxf>
      <font>
        <color auto="1"/>
      </font>
      <fill>
        <patternFill>
          <bgColor theme="9" tint="0.3999450666829432"/>
        </patternFill>
      </fill>
    </dxf>
    <dxf>
      <font>
        <color auto="1"/>
      </font>
      <fill>
        <patternFill>
          <bgColor theme="7" tint="0.3999450666829432"/>
        </patternFill>
      </fill>
    </dxf>
    <dxf>
      <font>
        <color auto="1"/>
      </font>
      <fill>
        <patternFill>
          <bgColor theme="0" tint="-0.1499679555650502"/>
        </patternFill>
      </fill>
    </dxf>
    <dxf>
      <font>
        <color rgb="FF9C0006"/>
      </font>
      <fill>
        <patternFill>
          <bgColor theme="8" tint="0.3999450666829432"/>
        </patternFill>
      </fill>
    </dxf>
    <dxf>
      <font>
        <color rgb="FF9C0006"/>
      </font>
      <fill>
        <patternFill>
          <bgColor theme="9" tint="0.3999450666829432"/>
        </patternFill>
      </fill>
    </dxf>
    <dxf>
      <font>
        <color rgb="FF9C0006"/>
      </font>
    </dxf>
    <dxf>
      <font>
        <color rgb="FF9C0006"/>
      </font>
      <fill>
        <patternFill>
          <bgColor theme="4" tint="0.399945066682943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"/>
        </patternFill>
      </fill>
    </dxf>
    <dxf>
      <font>
        <color auto="1"/>
      </font>
      <fill>
        <patternFill>
          <bgColor theme="8" tint="0.3999450666829432"/>
        </patternFill>
      </fill>
    </dxf>
    <dxf>
      <font>
        <color rgb="FF9C0006"/>
      </font>
      <fill>
        <patternFill>
          <bgColor theme="8" tint="0.399945066682943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ont>
        <color auto="1"/>
      </font>
      <fill>
        <patternFill>
          <fgColor auto="1"/>
          <bgColor theme="8" tint="0.3999450666829432"/>
        </patternFill>
      </fill>
    </dxf>
    <dxf>
      <font>
        <color auto="1"/>
      </font>
      <fill>
        <patternFill>
          <bgColor theme="9" tint="0.3999450666829432"/>
        </patternFill>
      </fill>
    </dxf>
    <dxf>
      <font>
        <color auto="1"/>
      </font>
      <fill>
        <patternFill>
          <bgColor theme="7" tint="0.3999450666829432"/>
        </patternFill>
      </fill>
    </dxf>
    <dxf>
      <font>
        <color auto="1"/>
      </font>
      <fill>
        <patternFill>
          <bgColor theme="0" tint="-0.1499679555650502"/>
        </patternFill>
      </fill>
    </dxf>
    <dxf>
      <font>
        <color rgb="FF9C0006"/>
      </font>
      <fill>
        <patternFill>
          <bgColor theme="8" tint="0.3999450666829432"/>
        </patternFill>
      </fill>
    </dxf>
    <dxf>
      <font>
        <color rgb="FF9C0006"/>
      </font>
      <fill>
        <patternFill>
          <bgColor theme="9" tint="0.3999450666829432"/>
        </patternFill>
      </fill>
    </dxf>
    <dxf>
      <font>
        <color rgb="FF9C0006"/>
      </font>
    </dxf>
    <dxf>
      <font>
        <color rgb="FF9C0006"/>
      </font>
      <fill>
        <patternFill>
          <bgColor theme="4" tint="0.399945066682943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"/>
        </patternFill>
      </fill>
    </dxf>
    <dxf>
      <font>
        <color auto="1"/>
      </font>
      <fill>
        <patternFill>
          <bgColor theme="8" tint="0.3999450666829432"/>
        </patternFill>
      </fill>
    </dxf>
    <dxf>
      <font>
        <color rgb="FF9C0006"/>
      </font>
      <fill>
        <patternFill>
          <bgColor theme="8" tint="0.399945066682943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theme="0" tint="-0.1499679555650502"/>
        </patternFill>
      </fill>
    </dxf>
    <dxf>
      <fill>
        <patternFill>
          <bgColor rgb="FF00B050"/>
        </patternFill>
      </fill>
    </dxf>
    <dxf>
      <fill>
        <patternFill>
          <bgColor theme="8" tint="0.3999450666829432"/>
        </patternFill>
      </fill>
    </dxf>
    <dxf>
      <fill>
        <patternFill>
          <bgColor theme="5" tint="0.3999450666829432"/>
        </patternFill>
      </fill>
    </dxf>
    <dxf>
      <fill>
        <patternFill>
          <bgColor theme="9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28" customWidth="1" style="6" min="1" max="1"/>
    <col width="18" customWidth="1" style="6" min="2" max="2"/>
    <col width="80" customWidth="1" style="6" min="4" max="4"/>
  </cols>
  <sheetData>
    <row r="1">
      <c r="A1" t="inlineStr">
        <is>
          <t>📅 التاريخ</t>
        </is>
      </c>
      <c r="B1">
        <f>TODAY()</f>
        <v/>
      </c>
      <c r="D1" t="inlineStr">
        <is>
          <t>ملاحظة: يمكنك تغيير التاريخ أو الفترة، وسيتم تحديث القائمة تلقائياً.</t>
        </is>
      </c>
    </row>
    <row r="2">
      <c r="A2" t="inlineStr">
        <is>
          <t>الفترة</t>
        </is>
      </c>
      <c r="B2" t="inlineStr">
        <is>
          <t>الكل</t>
        </is>
      </c>
    </row>
    <row r="3">
      <c r="A3" t="inlineStr">
        <is>
          <t>رمز محدد (اختياري)</t>
        </is>
      </c>
      <c r="B3" t="inlineStr">
        <is>
          <t>الكل</t>
        </is>
      </c>
    </row>
    <row r="4">
      <c r="A4" t="inlineStr">
        <is>
          <t>النتائج:</t>
        </is>
      </c>
    </row>
    <row r="5">
      <c r="A5" t="inlineStr">
        <is>
          <t>الموظف</t>
        </is>
      </c>
      <c r="B5" t="inlineStr">
        <is>
          <t>الوردية (رمز)</t>
        </is>
      </c>
    </row>
    <row r="6">
      <c r="A6">
        <f>LET(dates,'Export Checker'!$J$7:$AK$7,codes,'Export Checker'!$J$8:$AK$1000,names,'Export Checker'!$B$8:$B$1000,col,XMATCH(B1,dates,0),daycodes,INDEX(codes,0,col),pref,IF(B2="الكل","",IF(B2="صباح","M",IF(B2="ظهر","A",IF(B2="مساء","N","")))),codeSel,UPPER(B3),codeMask,IF(codeSel="الكل",TRUE,UPPER(daycodes)=codeSel),periodMask,IF(pref="",TRUE,LEFT(UPPER(daycodes),1)=pref),mask,(daycodes&lt;&gt;"")*codeMask*periodMask,FILTER(HSTACK(names,daycodes),mask,"لا يوجد مناوبين"))</f>
        <v/>
      </c>
    </row>
  </sheetData>
  <dataValidations count="2">
    <dataValidation sqref="B2" showErrorMessage="1" showInputMessage="1" allowBlank="1" type="list">
      <formula1>"الكل,صباح,ظهر,مساء"</formula1>
    </dataValidation>
    <dataValidation sqref="B3" showErrorMessage="1" showInputMessage="1" allowBlank="1" type="list">
      <formula1>"الكل,M1,M2,A1,A2,N1,N2,N3"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Q17" sqref="Q17"/>
    </sheetView>
  </sheetViews>
  <sheetFormatPr baseColWidth="8" defaultRowHeight="15"/>
  <cols>
    <col width="10.85546875" bestFit="1" customWidth="1" style="6" min="1" max="1"/>
    <col width="2.85546875" customWidth="1" style="6" min="2" max="2"/>
    <col width="2.5703125" customWidth="1" style="6" min="4" max="4"/>
    <col width="9.5703125" bestFit="1" customWidth="1" style="6" min="5" max="5"/>
    <col width="2.42578125" customWidth="1" style="6" min="6" max="6"/>
    <col width="2.5703125" customWidth="1" style="6" min="8" max="8"/>
    <col width="9.85546875" bestFit="1" customWidth="1" style="6" min="9" max="9"/>
    <col width="2.7109375" customWidth="1" style="6" min="10" max="10"/>
    <col width="12.85546875" bestFit="1" customWidth="1" style="6" min="11" max="11"/>
  </cols>
  <sheetData>
    <row r="1">
      <c r="A1" t="inlineStr">
        <is>
          <t>Month List</t>
        </is>
      </c>
      <c r="C1" t="inlineStr">
        <is>
          <t>Year</t>
        </is>
      </c>
      <c r="E1" t="inlineStr">
        <is>
          <t>Weekend</t>
        </is>
      </c>
      <c r="G1" t="inlineStr">
        <is>
          <t>Holidays</t>
        </is>
      </c>
      <c r="I1" t="inlineStr">
        <is>
          <t>Shift Type</t>
        </is>
      </c>
      <c r="K1" t="inlineStr">
        <is>
          <t>Shift Legends</t>
        </is>
      </c>
    </row>
    <row r="2">
      <c r="A2" t="inlineStr">
        <is>
          <t xml:space="preserve">January </t>
        </is>
      </c>
      <c r="C2" t="n">
        <v>2021</v>
      </c>
      <c r="E2" t="inlineStr">
        <is>
          <t>Fri</t>
        </is>
      </c>
      <c r="G2" s="1" t="n">
        <v>44197</v>
      </c>
      <c r="I2" t="inlineStr">
        <is>
          <t xml:space="preserve">Morning </t>
        </is>
      </c>
      <c r="K2" t="inlineStr">
        <is>
          <t>M1</t>
        </is>
      </c>
    </row>
    <row r="3">
      <c r="A3" t="inlineStr">
        <is>
          <t>February</t>
        </is>
      </c>
      <c r="C3" t="n">
        <v>2022</v>
      </c>
      <c r="E3" t="inlineStr">
        <is>
          <t>Sat</t>
        </is>
      </c>
      <c r="G3" s="2" t="n">
        <v>44222</v>
      </c>
      <c r="I3" t="inlineStr">
        <is>
          <t>Afternoon</t>
        </is>
      </c>
      <c r="K3" t="inlineStr">
        <is>
          <t>M2</t>
        </is>
      </c>
    </row>
    <row r="4">
      <c r="A4" t="inlineStr">
        <is>
          <t>March</t>
        </is>
      </c>
      <c r="C4" t="n">
        <v>2023</v>
      </c>
      <c r="I4" t="inlineStr">
        <is>
          <t xml:space="preserve">Night </t>
        </is>
      </c>
      <c r="K4" t="inlineStr">
        <is>
          <t>A1</t>
        </is>
      </c>
    </row>
    <row r="5">
      <c r="A5" t="inlineStr">
        <is>
          <t>April</t>
        </is>
      </c>
      <c r="C5" t="n">
        <v>2024</v>
      </c>
      <c r="I5" t="inlineStr">
        <is>
          <t xml:space="preserve">Offdays </t>
        </is>
      </c>
      <c r="K5" t="inlineStr">
        <is>
          <t>N1</t>
        </is>
      </c>
    </row>
    <row r="6">
      <c r="A6" t="inlineStr">
        <is>
          <t>May</t>
        </is>
      </c>
      <c r="C6" t="n">
        <v>2025</v>
      </c>
      <c r="K6" t="inlineStr">
        <is>
          <t>N2</t>
        </is>
      </c>
    </row>
    <row r="7">
      <c r="A7" t="inlineStr">
        <is>
          <t>June</t>
        </is>
      </c>
      <c r="C7" t="n">
        <v>2026</v>
      </c>
      <c r="K7" t="inlineStr">
        <is>
          <t>O1</t>
        </is>
      </c>
    </row>
    <row r="8">
      <c r="A8" t="inlineStr">
        <is>
          <t>July</t>
        </is>
      </c>
      <c r="C8" t="n">
        <v>2027</v>
      </c>
      <c r="K8" t="inlineStr">
        <is>
          <t>O2</t>
        </is>
      </c>
    </row>
    <row r="9">
      <c r="A9" t="inlineStr">
        <is>
          <t>August</t>
        </is>
      </c>
      <c r="K9" t="inlineStr">
        <is>
          <t>O3</t>
        </is>
      </c>
    </row>
    <row r="10">
      <c r="A10" t="inlineStr">
        <is>
          <t>September</t>
        </is>
      </c>
    </row>
    <row r="11">
      <c r="A11" t="inlineStr">
        <is>
          <t>October</t>
        </is>
      </c>
    </row>
    <row r="12">
      <c r="A12" t="inlineStr">
        <is>
          <t>November</t>
        </is>
      </c>
    </row>
    <row r="13">
      <c r="A13" t="inlineStr">
        <is>
          <t>December</t>
        </is>
      </c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N44"/>
  <sheetViews>
    <sheetView zoomScale="90" zoomScaleNormal="90" workbookViewId="0">
      <selection activeCell="H26" sqref="H26"/>
    </sheetView>
  </sheetViews>
  <sheetFormatPr baseColWidth="8" defaultRowHeight="15"/>
  <cols>
    <col width="2.140625" customWidth="1" style="6" min="1" max="1"/>
    <col width="17.140625" bestFit="1" customWidth="1" style="6" min="2" max="2"/>
    <col width="11.7109375" bestFit="1" customWidth="1" style="6" min="3" max="3"/>
    <col width="2.85546875" customWidth="1" style="6" min="4" max="4"/>
    <col width="7.7109375" customWidth="1" style="6" min="5" max="35"/>
    <col width="2.85546875" customWidth="1" style="6" min="36" max="36"/>
    <col width="10.7109375" customWidth="1" style="6" min="37" max="40"/>
    <col width="9.140625" customWidth="1" style="6" min="41" max="16384"/>
  </cols>
  <sheetData>
    <row r="1" ht="9" customHeight="1" s="6">
      <c r="E1" s="84" t="n"/>
    </row>
    <row r="2" ht="28.5" customHeight="1" s="6">
      <c r="B2" s="82" t="inlineStr">
        <is>
          <t>Logo</t>
        </is>
      </c>
      <c r="C2" s="132" t="n"/>
      <c r="D2" s="10" t="n"/>
      <c r="E2" s="83" t="inlineStr">
        <is>
          <t>Duty Roster for the Month of</t>
        </is>
      </c>
      <c r="F2" s="133" t="n"/>
      <c r="G2" s="133" t="n"/>
      <c r="H2" s="133" t="n"/>
      <c r="I2" s="133" t="n"/>
      <c r="J2" s="133" t="n"/>
      <c r="K2" s="133" t="n"/>
      <c r="L2" s="133" t="n"/>
      <c r="M2" s="133" t="n"/>
      <c r="N2" s="133" t="n"/>
      <c r="O2" s="133" t="n"/>
      <c r="P2" s="133" t="n"/>
      <c r="Q2" s="133" t="n"/>
      <c r="R2" s="133" t="n"/>
      <c r="S2" s="133" t="n"/>
      <c r="T2" s="133" t="n"/>
      <c r="U2" s="133" t="n"/>
      <c r="V2" s="134" t="n"/>
      <c r="W2" s="83" t="inlineStr">
        <is>
          <t>September</t>
        </is>
      </c>
      <c r="X2" s="133" t="n"/>
      <c r="Y2" s="133" t="n"/>
      <c r="Z2" s="133" t="n"/>
      <c r="AA2" s="133" t="n"/>
      <c r="AB2" s="134" t="n"/>
      <c r="AC2" s="83" t="n">
        <v>2025</v>
      </c>
      <c r="AD2" s="133" t="n"/>
      <c r="AE2" s="133" t="n"/>
      <c r="AF2" s="134" t="n"/>
      <c r="AG2" s="5" t="n"/>
      <c r="AH2" s="5" t="n"/>
      <c r="AI2" s="5" t="n"/>
      <c r="AK2" s="77" t="inlineStr">
        <is>
          <t xml:space="preserve">Final Monthly Report </t>
        </is>
      </c>
    </row>
    <row r="3">
      <c r="B3" s="135" t="n"/>
      <c r="C3" s="136" t="n"/>
      <c r="D3" s="11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</row>
    <row r="4">
      <c r="B4" s="137" t="n"/>
      <c r="C4" s="138" t="n"/>
      <c r="D4" s="11" t="n"/>
      <c r="E4" s="78" t="inlineStr">
        <is>
          <t>Month Starts On:</t>
        </is>
      </c>
      <c r="F4" s="133" t="n"/>
      <c r="G4" s="133" t="n"/>
      <c r="H4" s="133" t="n"/>
      <c r="I4" s="134" t="n"/>
      <c r="J4" s="3" t="n">
        <v>1</v>
      </c>
      <c r="K4" s="3" t="n"/>
      <c r="L4" s="3" t="n"/>
      <c r="M4" s="80" t="inlineStr">
        <is>
          <t>Start date:</t>
        </is>
      </c>
      <c r="N4" s="133" t="n"/>
      <c r="O4" s="134" t="n"/>
      <c r="P4" s="85">
        <f>IFERROR(DATEVALUE(J4&amp;W2&amp;AC2),"")</f>
        <v/>
      </c>
      <c r="Q4" s="133" t="n"/>
      <c r="R4" s="134" t="n"/>
      <c r="S4" s="3" t="n"/>
      <c r="T4" s="3" t="n"/>
      <c r="U4" s="80" t="inlineStr">
        <is>
          <t>End date:</t>
        </is>
      </c>
      <c r="V4" s="133" t="n"/>
      <c r="W4" s="134" t="n"/>
      <c r="X4" s="85">
        <f>IFERROR(EOMONTH(P4,0)+J4-1,"")</f>
        <v/>
      </c>
      <c r="Y4" s="133" t="n"/>
      <c r="Z4" s="134" t="n"/>
      <c r="AA4" s="3" t="n"/>
      <c r="AB4" s="3" t="n"/>
      <c r="AC4" s="80" t="inlineStr">
        <is>
          <t>Total Days:</t>
        </is>
      </c>
      <c r="AD4" s="133" t="n"/>
      <c r="AE4" s="134" t="n"/>
      <c r="AF4" s="3">
        <f>COUNTIF(E6:AI6,"*?")</f>
        <v/>
      </c>
      <c r="AG4" s="3" t="n"/>
      <c r="AH4" s="3" t="n"/>
      <c r="AI4" s="3" t="n"/>
    </row>
    <row r="5" ht="6.75" customHeight="1" s="6">
      <c r="B5" s="82" t="n"/>
      <c r="C5" s="82" t="n"/>
      <c r="D5" s="11" t="n"/>
      <c r="E5" s="78" t="n"/>
      <c r="F5" s="78" t="n"/>
      <c r="G5" s="78" t="n"/>
      <c r="H5" s="78" t="n"/>
      <c r="I5" s="78" t="n"/>
      <c r="J5" s="3" t="n"/>
      <c r="K5" s="3" t="n"/>
      <c r="L5" s="3" t="n"/>
      <c r="M5" s="80" t="n"/>
      <c r="N5" s="80" t="n"/>
      <c r="O5" s="80" t="n"/>
      <c r="P5" s="85" t="n"/>
      <c r="Q5" s="85" t="n"/>
      <c r="R5" s="85" t="n"/>
      <c r="S5" s="3" t="n"/>
      <c r="T5" s="3" t="n"/>
      <c r="U5" s="80" t="n"/>
      <c r="V5" s="80" t="n"/>
      <c r="W5" s="80" t="n"/>
      <c r="X5" s="85" t="n"/>
      <c r="Y5" s="85" t="n"/>
      <c r="Z5" s="85" t="n"/>
      <c r="AA5" s="3" t="n"/>
      <c r="AB5" s="3" t="n"/>
      <c r="AC5" s="80" t="n"/>
      <c r="AD5" s="80" t="n"/>
      <c r="AE5" s="80" t="n"/>
      <c r="AF5" s="3" t="n"/>
      <c r="AG5" s="3" t="n"/>
      <c r="AH5" s="3" t="n"/>
      <c r="AI5" s="3" t="n"/>
    </row>
    <row r="6" ht="27.75" customHeight="1" s="6">
      <c r="B6" s="81" t="inlineStr">
        <is>
          <t>Employee Name</t>
        </is>
      </c>
      <c r="C6" s="81" t="inlineStr">
        <is>
          <t>Shift Starts</t>
        </is>
      </c>
      <c r="D6" s="14" t="n"/>
      <c r="E6" s="15">
        <f>TEXT(E7,"ddd")</f>
        <v/>
      </c>
      <c r="F6" s="15">
        <f>TEXT(F7,"ddd")</f>
        <v/>
      </c>
      <c r="G6" s="15">
        <f>TEXT(G7,"ddd")</f>
        <v/>
      </c>
      <c r="H6" s="15">
        <f>TEXT(H7,"ddd")</f>
        <v/>
      </c>
      <c r="I6" s="15">
        <f>TEXT(I7,"ddd")</f>
        <v/>
      </c>
      <c r="J6" s="15">
        <f>TEXT(J7,"ddd")</f>
        <v/>
      </c>
      <c r="K6" s="15">
        <f>TEXT(K7,"ddd")</f>
        <v/>
      </c>
      <c r="L6" s="15">
        <f>TEXT(L7,"ddd")</f>
        <v/>
      </c>
      <c r="M6" s="15">
        <f>TEXT(M7,"ddd")</f>
        <v/>
      </c>
      <c r="N6" s="15">
        <f>TEXT(N7,"ddd")</f>
        <v/>
      </c>
      <c r="O6" s="15">
        <f>TEXT(O7,"ddd")</f>
        <v/>
      </c>
      <c r="P6" s="15">
        <f>TEXT(P7,"ddd")</f>
        <v/>
      </c>
      <c r="Q6" s="15">
        <f>TEXT(Q7,"ddd")</f>
        <v/>
      </c>
      <c r="R6" s="15">
        <f>TEXT(R7,"ddd")</f>
        <v/>
      </c>
      <c r="S6" s="15">
        <f>TEXT(S7,"ddd")</f>
        <v/>
      </c>
      <c r="T6" s="15">
        <f>TEXT(T7,"ddd")</f>
        <v/>
      </c>
      <c r="U6" s="15">
        <f>TEXT(U7,"ddd")</f>
        <v/>
      </c>
      <c r="V6" s="15">
        <f>TEXT(V7,"ddd")</f>
        <v/>
      </c>
      <c r="W6" s="15">
        <f>TEXT(W7,"ddd")</f>
        <v/>
      </c>
      <c r="X6" s="15">
        <f>TEXT(X7,"ddd")</f>
        <v/>
      </c>
      <c r="Y6" s="15">
        <f>TEXT(Y7,"ddd")</f>
        <v/>
      </c>
      <c r="Z6" s="15">
        <f>TEXT(Z7,"ddd")</f>
        <v/>
      </c>
      <c r="AA6" s="15">
        <f>TEXT(AA7,"ddd")</f>
        <v/>
      </c>
      <c r="AB6" s="15">
        <f>TEXT(AB7,"ddd")</f>
        <v/>
      </c>
      <c r="AC6" s="15">
        <f>TEXT(AC7,"ddd")</f>
        <v/>
      </c>
      <c r="AD6" s="15">
        <f>TEXT(AD7,"ddd")</f>
        <v/>
      </c>
      <c r="AE6" s="15">
        <f>TEXT(AE7,"ddd")</f>
        <v/>
      </c>
      <c r="AF6" s="15">
        <f>TEXT(AF7,"ddd")</f>
        <v/>
      </c>
      <c r="AG6" s="15">
        <f>TEXT(AG7,"ddd")</f>
        <v/>
      </c>
      <c r="AH6" s="15">
        <f>TEXT(AH7,"ddd")</f>
        <v/>
      </c>
      <c r="AI6" s="15">
        <f>TEXT(AI7,"ddd")</f>
        <v/>
      </c>
      <c r="AJ6" s="16" t="n"/>
      <c r="AK6" s="79" t="inlineStr">
        <is>
          <t xml:space="preserve">Total Morning Shift </t>
        </is>
      </c>
      <c r="AL6" s="79" t="inlineStr">
        <is>
          <t>Total Afternoon Shift</t>
        </is>
      </c>
      <c r="AM6" s="79" t="inlineStr">
        <is>
          <t>Total Night Shift</t>
        </is>
      </c>
      <c r="AN6" s="79" t="inlineStr">
        <is>
          <t>Total Off Days</t>
        </is>
      </c>
    </row>
    <row r="7">
      <c r="B7" s="12" t="n"/>
      <c r="C7" s="12" t="n"/>
      <c r="D7" s="14" t="n"/>
      <c r="E7" s="17">
        <f>P4</f>
        <v/>
      </c>
      <c r="F7" s="17">
        <f>IF(E7&gt;=$X$4,"",E7+1)</f>
        <v/>
      </c>
      <c r="G7" s="17">
        <f>IF(F7&gt;=$X$4,"",F7+1)</f>
        <v/>
      </c>
      <c r="H7" s="17">
        <f>IF(G7&gt;=$X$4,"",G7+1)</f>
        <v/>
      </c>
      <c r="I7" s="17">
        <f>IF(H7&gt;=$X$4,"",H7+1)</f>
        <v/>
      </c>
      <c r="J7" s="17">
        <f>IF(I7&gt;=$X$4,"",I7+1)</f>
        <v/>
      </c>
      <c r="K7" s="17">
        <f>IF(J7&gt;=$X$4,"",J7+1)</f>
        <v/>
      </c>
      <c r="L7" s="17">
        <f>IF(K7&gt;=$X$4,"",K7+1)</f>
        <v/>
      </c>
      <c r="M7" s="17">
        <f>IF(L7&gt;=$X$4,"",L7+1)</f>
        <v/>
      </c>
      <c r="N7" s="17">
        <f>IF(M7&gt;=$X$4,"",M7+1)</f>
        <v/>
      </c>
      <c r="O7" s="17">
        <f>IF(N7&gt;=$X$4,"",N7+1)</f>
        <v/>
      </c>
      <c r="P7" s="17">
        <f>IF(O7&gt;=$X$4,"",O7+1)</f>
        <v/>
      </c>
      <c r="Q7" s="17">
        <f>IF(P7&gt;=$X$4,"",P7+1)</f>
        <v/>
      </c>
      <c r="R7" s="17">
        <f>IF(Q7&gt;=$X$4,"",Q7+1)</f>
        <v/>
      </c>
      <c r="S7" s="17">
        <f>IF(R7&gt;=$X$4,"",R7+1)</f>
        <v/>
      </c>
      <c r="T7" s="17">
        <f>IF(S7&gt;=$X$4,"",S7+1)</f>
        <v/>
      </c>
      <c r="U7" s="17">
        <f>IF(T7&gt;=$X$4,"",T7+1)</f>
        <v/>
      </c>
      <c r="V7" s="17">
        <f>IF(U7&gt;=$X$4,"",U7+1)</f>
        <v/>
      </c>
      <c r="W7" s="17">
        <f>IF(V7&gt;=$X$4,"",V7+1)</f>
        <v/>
      </c>
      <c r="X7" s="17">
        <f>IF(W7&gt;=$X$4,"",W7+1)</f>
        <v/>
      </c>
      <c r="Y7" s="17">
        <f>IF(X7&gt;=$X$4,"",X7+1)</f>
        <v/>
      </c>
      <c r="Z7" s="17">
        <f>IF(Y7&gt;=$X$4,"",Y7+1)</f>
        <v/>
      </c>
      <c r="AA7" s="17">
        <f>IF(Z7&gt;=$X$4,"",Z7+1)</f>
        <v/>
      </c>
      <c r="AB7" s="17">
        <f>IF(AA7&gt;=$X$4,"",AA7+1)</f>
        <v/>
      </c>
      <c r="AC7" s="17">
        <f>IF(AB7&gt;=$X$4,"",AB7+1)</f>
        <v/>
      </c>
      <c r="AD7" s="17">
        <f>IF(AC7&gt;=$X$4,"",AC7+1)</f>
        <v/>
      </c>
      <c r="AE7" s="17">
        <f>IF(AD7&gt;=$X$4,"",AD7+1)</f>
        <v/>
      </c>
      <c r="AF7" s="17">
        <f>IF(AE7&gt;=$X$4,"",AE7+1)</f>
        <v/>
      </c>
      <c r="AG7" s="17">
        <f>IF(AF7&gt;=$X$4,"",AF7+1)</f>
        <v/>
      </c>
      <c r="AH7" s="17">
        <f>IF(AG7&gt;=$X$4,"",AG7+1)</f>
        <v/>
      </c>
      <c r="AI7" s="17">
        <f>IF(AH7&gt;=$X$4,"",AH7+1)</f>
        <v/>
      </c>
      <c r="AJ7" s="16" t="n"/>
      <c r="AK7" s="12" t="n"/>
      <c r="AL7" s="12" t="n"/>
      <c r="AM7" s="12" t="n"/>
      <c r="AN7" s="12" t="n"/>
    </row>
    <row r="8">
      <c r="B8" s="3" t="inlineStr">
        <is>
          <t>Employee -1</t>
        </is>
      </c>
      <c r="C8" s="3" t="inlineStr">
        <is>
          <t>M2</t>
        </is>
      </c>
      <c r="D8" s="11" t="n"/>
      <c r="E8" s="82">
        <f>IF(OR($C8="",E$7=""),"",IF(D8="",C8,INDEX(Settings_ShiftLegends,IF(MATCH(D8,Settings_ShiftLegends,0)+1&gt;COUNTA(Settings_ShiftLegends),1,MATCH(D8,Settings_ShiftLegends,0)+1))))</f>
        <v/>
      </c>
      <c r="F8" s="82">
        <f>IF(OR($C8="",F$7=""),"",IF(E8="",D8,INDEX(Settings_ShiftLegends,IF(MATCH(E8,Settings_ShiftLegends,0)+1&gt;COUNTA(Settings_ShiftLegends),1,MATCH(E8,Settings_ShiftLegends,0)+1))))</f>
        <v/>
      </c>
      <c r="G8" s="82">
        <f>IF(OR($C8="",G$7=""),"",IF(F8="",E8,INDEX(Settings_ShiftLegends,IF(MATCH(F8,Settings_ShiftLegends,0)+1&gt;COUNTA(Settings_ShiftLegends),1,MATCH(F8,Settings_ShiftLegends,0)+1))))</f>
        <v/>
      </c>
      <c r="H8" s="82">
        <f>IF(OR($C8="",H$7=""),"",IF(G8="",F8,INDEX(Settings_ShiftLegends,IF(MATCH(G8,Settings_ShiftLegends,0)+1&gt;COUNTA(Settings_ShiftLegends),1,MATCH(G8,Settings_ShiftLegends,0)+1))))</f>
        <v/>
      </c>
      <c r="I8" s="82">
        <f>IF(OR($C8="",I$7=""),"",IF(H8="",G8,INDEX(Settings_ShiftLegends,IF(MATCH(H8,Settings_ShiftLegends,0)+1&gt;COUNTA(Settings_ShiftLegends),1,MATCH(H8,Settings_ShiftLegends,0)+1))))</f>
        <v/>
      </c>
      <c r="J8" s="82">
        <f>IF(OR($C8="",J$7=""),"",IF(I8="",H8,INDEX(Settings_ShiftLegends,IF(MATCH(I8,Settings_ShiftLegends,0)+1&gt;COUNTA(Settings_ShiftLegends),1,MATCH(I8,Settings_ShiftLegends,0)+1))))</f>
        <v/>
      </c>
      <c r="K8" s="82">
        <f>IF(OR($C8="",K$7=""),"",IF(J8="",I8,INDEX(Settings_ShiftLegends,IF(MATCH(J8,Settings_ShiftLegends,0)+1&gt;COUNTA(Settings_ShiftLegends),1,MATCH(J8,Settings_ShiftLegends,0)+1))))</f>
        <v/>
      </c>
      <c r="L8" s="82">
        <f>IF(OR($C8="",L$7=""),"",IF(K8="",J8,INDEX(Settings_ShiftLegends,IF(MATCH(K8,Settings_ShiftLegends,0)+1&gt;COUNTA(Settings_ShiftLegends),1,MATCH(K8,Settings_ShiftLegends,0)+1))))</f>
        <v/>
      </c>
      <c r="M8" s="82">
        <f>IF(OR($C8="",M$7=""),"",IF(L8="",K8,INDEX(Settings_ShiftLegends,IF(MATCH(L8,Settings_ShiftLegends,0)+1&gt;COUNTA(Settings_ShiftLegends),1,MATCH(L8,Settings_ShiftLegends,0)+1))))</f>
        <v/>
      </c>
      <c r="N8" s="82">
        <f>IF(OR($C8="",N$7=""),"",IF(M8="",L8,INDEX(Settings_ShiftLegends,IF(MATCH(M8,Settings_ShiftLegends,0)+1&gt;COUNTA(Settings_ShiftLegends),1,MATCH(M8,Settings_ShiftLegends,0)+1))))</f>
        <v/>
      </c>
      <c r="O8" s="82">
        <f>IF(OR($C8="",O$7=""),"",IF(N8="",M8,INDEX(Settings_ShiftLegends,IF(MATCH(N8,Settings_ShiftLegends,0)+1&gt;COUNTA(Settings_ShiftLegends),1,MATCH(N8,Settings_ShiftLegends,0)+1))))</f>
        <v/>
      </c>
      <c r="P8" s="82">
        <f>IF(OR($C8="",P$7=""),"",IF(O8="",N8,INDEX(Settings_ShiftLegends,IF(MATCH(O8,Settings_ShiftLegends,0)+1&gt;COUNTA(Settings_ShiftLegends),1,MATCH(O8,Settings_ShiftLegends,0)+1))))</f>
        <v/>
      </c>
      <c r="Q8" s="82">
        <f>IF(OR($C8="",Q$7=""),"",IF(P8="",O8,INDEX(Settings_ShiftLegends,IF(MATCH(P8,Settings_ShiftLegends,0)+1&gt;COUNTA(Settings_ShiftLegends),1,MATCH(P8,Settings_ShiftLegends,0)+1))))</f>
        <v/>
      </c>
      <c r="R8" s="82">
        <f>IF(OR($C8="",R$7=""),"",IF(Q8="",P8,INDEX(Settings_ShiftLegends,IF(MATCH(Q8,Settings_ShiftLegends,0)+1&gt;COUNTA(Settings_ShiftLegends),1,MATCH(Q8,Settings_ShiftLegends,0)+1))))</f>
        <v/>
      </c>
      <c r="S8" s="82">
        <f>IF(OR($C8="",S$7=""),"",IF(R8="",Q8,INDEX(Settings_ShiftLegends,IF(MATCH(R8,Settings_ShiftLegends,0)+1&gt;COUNTA(Settings_ShiftLegends),1,MATCH(R8,Settings_ShiftLegends,0)+1))))</f>
        <v/>
      </c>
      <c r="T8" s="82">
        <f>IF(OR($C8="",T$7=""),"",IF(S8="",R8,INDEX(Settings_ShiftLegends,IF(MATCH(S8,Settings_ShiftLegends,0)+1&gt;COUNTA(Settings_ShiftLegends),1,MATCH(S8,Settings_ShiftLegends,0)+1))))</f>
        <v/>
      </c>
      <c r="U8" s="82">
        <f>IF(OR($C8="",U$7=""),"",IF(T8="",S8,INDEX(Settings_ShiftLegends,IF(MATCH(T8,Settings_ShiftLegends,0)+1&gt;COUNTA(Settings_ShiftLegends),1,MATCH(T8,Settings_ShiftLegends,0)+1))))</f>
        <v/>
      </c>
      <c r="V8" s="82">
        <f>IF(OR($C8="",V$7=""),"",IF(U8="",T8,INDEX(Settings_ShiftLegends,IF(MATCH(U8,Settings_ShiftLegends,0)+1&gt;COUNTA(Settings_ShiftLegends),1,MATCH(U8,Settings_ShiftLegends,0)+1))))</f>
        <v/>
      </c>
      <c r="W8" s="82">
        <f>IF(OR($C8="",W$7=""),"",IF(V8="",U8,INDEX(Settings_ShiftLegends,IF(MATCH(V8,Settings_ShiftLegends,0)+1&gt;COUNTA(Settings_ShiftLegends),1,MATCH(V8,Settings_ShiftLegends,0)+1))))</f>
        <v/>
      </c>
      <c r="X8" s="82">
        <f>IF(OR($C8="",X$7=""),"",IF(W8="",V8,INDEX(Settings_ShiftLegends,IF(MATCH(W8,Settings_ShiftLegends,0)+1&gt;COUNTA(Settings_ShiftLegends),1,MATCH(W8,Settings_ShiftLegends,0)+1))))</f>
        <v/>
      </c>
      <c r="Y8" s="82">
        <f>IF(OR($C8="",Y$7=""),"",IF(X8="",W8,INDEX(Settings_ShiftLegends,IF(MATCH(X8,Settings_ShiftLegends,0)+1&gt;COUNTA(Settings_ShiftLegends),1,MATCH(X8,Settings_ShiftLegends,0)+1))))</f>
        <v/>
      </c>
      <c r="Z8" s="82">
        <f>IF(OR($C8="",Z$7=""),"",IF(Y8="",X8,INDEX(Settings_ShiftLegends,IF(MATCH(Y8,Settings_ShiftLegends,0)+1&gt;COUNTA(Settings_ShiftLegends),1,MATCH(Y8,Settings_ShiftLegends,0)+1))))</f>
        <v/>
      </c>
      <c r="AA8" s="82">
        <f>IF(OR($C8="",AA$7=""),"",IF(Z8="",Y8,INDEX(Settings_ShiftLegends,IF(MATCH(Z8,Settings_ShiftLegends,0)+1&gt;COUNTA(Settings_ShiftLegends),1,MATCH(Z8,Settings_ShiftLegends,0)+1))))</f>
        <v/>
      </c>
      <c r="AB8" s="82">
        <f>IF(OR($C8="",AB$7=""),"",IF(AA8="",Z8,INDEX(Settings_ShiftLegends,IF(MATCH(AA8,Settings_ShiftLegends,0)+1&gt;COUNTA(Settings_ShiftLegends),1,MATCH(AA8,Settings_ShiftLegends,0)+1))))</f>
        <v/>
      </c>
      <c r="AC8" s="82">
        <f>IF(OR($C8="",AC$7=""),"",IF(AB8="",AA8,INDEX(Settings_ShiftLegends,IF(MATCH(AB8,Settings_ShiftLegends,0)+1&gt;COUNTA(Settings_ShiftLegends),1,MATCH(AB8,Settings_ShiftLegends,0)+1))))</f>
        <v/>
      </c>
      <c r="AD8" s="82">
        <f>IF(OR($C8="",AD$7=""),"",IF(AC8="",AB8,INDEX(Settings_ShiftLegends,IF(MATCH(AC8,Settings_ShiftLegends,0)+1&gt;COUNTA(Settings_ShiftLegends),1,MATCH(AC8,Settings_ShiftLegends,0)+1))))</f>
        <v/>
      </c>
      <c r="AE8" s="82">
        <f>IF(OR($C8="",AE$7=""),"",IF(AD8="",AC8,INDEX(Settings_ShiftLegends,IF(MATCH(AD8,Settings_ShiftLegends,0)+1&gt;COUNTA(Settings_ShiftLegends),1,MATCH(AD8,Settings_ShiftLegends,0)+1))))</f>
        <v/>
      </c>
      <c r="AF8" s="82">
        <f>IF(OR($C8="",AF$7=""),"",IF(AE8="",AD8,INDEX(Settings_ShiftLegends,IF(MATCH(AE8,Settings_ShiftLegends,0)+1&gt;COUNTA(Settings_ShiftLegends),1,MATCH(AE8,Settings_ShiftLegends,0)+1))))</f>
        <v/>
      </c>
      <c r="AG8" s="82">
        <f>IF(OR($C8="",AG$7=""),"",IF(AF8="",AE8,INDEX(Settings_ShiftLegends,IF(MATCH(AF8,Settings_ShiftLegends,0)+1&gt;COUNTA(Settings_ShiftLegends),1,MATCH(AF8,Settings_ShiftLegends,0)+1))))</f>
        <v/>
      </c>
      <c r="AH8" s="82">
        <f>IF(OR($C8="",AH$7=""),"",IF(AG8="",AF8,INDEX(Settings_ShiftLegends,IF(MATCH(AG8,Settings_ShiftLegends,0)+1&gt;COUNTA(Settings_ShiftLegends),1,MATCH(AG8,Settings_ShiftLegends,0)+1))))</f>
        <v/>
      </c>
      <c r="AI8" s="82">
        <f>IF(OR($C8="",AI$7=""),"",IF(AH8="",AG8,INDEX(Settings_ShiftLegends,IF(MATCH(AH8,Settings_ShiftLegends,0)+1&gt;COUNTA(Settings_ShiftLegends),1,MATCH(AH8,Settings_ShiftLegends,0)+1))))</f>
        <v/>
      </c>
      <c r="AK8" s="82">
        <f>COUNTIF($E8:$AI8,"M*")</f>
        <v/>
      </c>
      <c r="AL8" s="82">
        <f>COUNTIF($E8:$AI8,"A*")</f>
        <v/>
      </c>
      <c r="AM8" s="82">
        <f>COUNTIF($E8:$AI8,"N*")</f>
        <v/>
      </c>
      <c r="AN8" s="82">
        <f>COUNTIF($E8:$AI8,"O*")</f>
        <v/>
      </c>
    </row>
    <row r="9">
      <c r="B9" s="3" t="inlineStr">
        <is>
          <t>Employee -2</t>
        </is>
      </c>
      <c r="C9" s="3" t="inlineStr">
        <is>
          <t>M2</t>
        </is>
      </c>
      <c r="D9" s="11" t="n"/>
      <c r="E9" s="82">
        <f>IF(OR($C9="",E$7=""),"",IF(D9="",C9,INDEX(Settings_ShiftLegends,IF(MATCH(D9,Settings_ShiftLegends,0)+1&gt;COUNTA(Settings_ShiftLegends),1,MATCH(D9,Settings_ShiftLegends,0)+1))))</f>
        <v/>
      </c>
      <c r="F9" s="82">
        <f>IF(OR($C9="",F$7=""),"",IF(E9="",D9,INDEX(Settings_ShiftLegends,IF(MATCH(E9,Settings_ShiftLegends,0)+1&gt;COUNTA(Settings_ShiftLegends),1,MATCH(E9,Settings_ShiftLegends,0)+1))))</f>
        <v/>
      </c>
      <c r="G9" s="82">
        <f>IF(OR($C9="",G$7=""),"",IF(F9="",E9,INDEX(Settings_ShiftLegends,IF(MATCH(F9,Settings_ShiftLegends,0)+1&gt;COUNTA(Settings_ShiftLegends),1,MATCH(F9,Settings_ShiftLegends,0)+1))))</f>
        <v/>
      </c>
      <c r="H9" s="82">
        <f>IF(OR($C9="",H$7=""),"",IF(G9="",F9,INDEX(Settings_ShiftLegends,IF(MATCH(G9,Settings_ShiftLegends,0)+1&gt;COUNTA(Settings_ShiftLegends),1,MATCH(G9,Settings_ShiftLegends,0)+1))))</f>
        <v/>
      </c>
      <c r="I9" s="82">
        <f>IF(OR($C9="",I$7=""),"",IF(H9="",G9,INDEX(Settings_ShiftLegends,IF(MATCH(H9,Settings_ShiftLegends,0)+1&gt;COUNTA(Settings_ShiftLegends),1,MATCH(H9,Settings_ShiftLegends,0)+1))))</f>
        <v/>
      </c>
      <c r="J9" s="82">
        <f>IF(OR($C9="",J$7=""),"",IF(I9="",H9,INDEX(Settings_ShiftLegends,IF(MATCH(I9,Settings_ShiftLegends,0)+1&gt;COUNTA(Settings_ShiftLegends),1,MATCH(I9,Settings_ShiftLegends,0)+1))))</f>
        <v/>
      </c>
      <c r="K9" s="82">
        <f>IF(OR($C9="",K$7=""),"",IF(J9="",I9,INDEX(Settings_ShiftLegends,IF(MATCH(J9,Settings_ShiftLegends,0)+1&gt;COUNTA(Settings_ShiftLegends),1,MATCH(J9,Settings_ShiftLegends,0)+1))))</f>
        <v/>
      </c>
      <c r="L9" s="82">
        <f>IF(OR($C9="",L$7=""),"",IF(K9="",J9,INDEX(Settings_ShiftLegends,IF(MATCH(K9,Settings_ShiftLegends,0)+1&gt;COUNTA(Settings_ShiftLegends),1,MATCH(K9,Settings_ShiftLegends,0)+1))))</f>
        <v/>
      </c>
      <c r="M9" s="82">
        <f>IF(OR($C9="",M$7=""),"",IF(L9="",K9,INDEX(Settings_ShiftLegends,IF(MATCH(L9,Settings_ShiftLegends,0)+1&gt;COUNTA(Settings_ShiftLegends),1,MATCH(L9,Settings_ShiftLegends,0)+1))))</f>
        <v/>
      </c>
      <c r="N9" s="82">
        <f>IF(OR($C9="",N$7=""),"",IF(M9="",L9,INDEX(Settings_ShiftLegends,IF(MATCH(M9,Settings_ShiftLegends,0)+1&gt;COUNTA(Settings_ShiftLegends),1,MATCH(M9,Settings_ShiftLegends,0)+1))))</f>
        <v/>
      </c>
      <c r="O9" s="82">
        <f>IF(OR($C9="",O$7=""),"",IF(N9="",M9,INDEX(Settings_ShiftLegends,IF(MATCH(N9,Settings_ShiftLegends,0)+1&gt;COUNTA(Settings_ShiftLegends),1,MATCH(N9,Settings_ShiftLegends,0)+1))))</f>
        <v/>
      </c>
      <c r="P9" s="82">
        <f>IF(OR($C9="",P$7=""),"",IF(O9="",N9,INDEX(Settings_ShiftLegends,IF(MATCH(O9,Settings_ShiftLegends,0)+1&gt;COUNTA(Settings_ShiftLegends),1,MATCH(O9,Settings_ShiftLegends,0)+1))))</f>
        <v/>
      </c>
      <c r="Q9" s="82">
        <f>IF(OR($C9="",Q$7=""),"",IF(P9="",O9,INDEX(Settings_ShiftLegends,IF(MATCH(P9,Settings_ShiftLegends,0)+1&gt;COUNTA(Settings_ShiftLegends),1,MATCH(P9,Settings_ShiftLegends,0)+1))))</f>
        <v/>
      </c>
      <c r="R9" s="82">
        <f>IF(OR($C9="",R$7=""),"",IF(Q9="",P9,INDEX(Settings_ShiftLegends,IF(MATCH(Q9,Settings_ShiftLegends,0)+1&gt;COUNTA(Settings_ShiftLegends),1,MATCH(Q9,Settings_ShiftLegends,0)+1))))</f>
        <v/>
      </c>
      <c r="S9" s="82">
        <f>IF(OR($C9="",S$7=""),"",IF(R9="",Q9,INDEX(Settings_ShiftLegends,IF(MATCH(R9,Settings_ShiftLegends,0)+1&gt;COUNTA(Settings_ShiftLegends),1,MATCH(R9,Settings_ShiftLegends,0)+1))))</f>
        <v/>
      </c>
      <c r="T9" s="82">
        <f>IF(OR($C9="",T$7=""),"",IF(S9="",R9,INDEX(Settings_ShiftLegends,IF(MATCH(S9,Settings_ShiftLegends,0)+1&gt;COUNTA(Settings_ShiftLegends),1,MATCH(S9,Settings_ShiftLegends,0)+1))))</f>
        <v/>
      </c>
      <c r="U9" s="82">
        <f>IF(OR($C9="",U$7=""),"",IF(T9="",S9,INDEX(Settings_ShiftLegends,IF(MATCH(T9,Settings_ShiftLegends,0)+1&gt;COUNTA(Settings_ShiftLegends),1,MATCH(T9,Settings_ShiftLegends,0)+1))))</f>
        <v/>
      </c>
      <c r="V9" s="82">
        <f>IF(OR($C9="",V$7=""),"",IF(U9="",T9,INDEX(Settings_ShiftLegends,IF(MATCH(U9,Settings_ShiftLegends,0)+1&gt;COUNTA(Settings_ShiftLegends),1,MATCH(U9,Settings_ShiftLegends,0)+1))))</f>
        <v/>
      </c>
      <c r="W9" s="82">
        <f>IF(OR($C9="",W$7=""),"",IF(V9="",U9,INDEX(Settings_ShiftLegends,IF(MATCH(V9,Settings_ShiftLegends,0)+1&gt;COUNTA(Settings_ShiftLegends),1,MATCH(V9,Settings_ShiftLegends,0)+1))))</f>
        <v/>
      </c>
      <c r="X9" s="82">
        <f>IF(OR($C9="",X$7=""),"",IF(W9="",V9,INDEX(Settings_ShiftLegends,IF(MATCH(W9,Settings_ShiftLegends,0)+1&gt;COUNTA(Settings_ShiftLegends),1,MATCH(W9,Settings_ShiftLegends,0)+1))))</f>
        <v/>
      </c>
      <c r="Y9" s="82">
        <f>IF(OR($C9="",Y$7=""),"",IF(X9="",W9,INDEX(Settings_ShiftLegends,IF(MATCH(X9,Settings_ShiftLegends,0)+1&gt;COUNTA(Settings_ShiftLegends),1,MATCH(X9,Settings_ShiftLegends,0)+1))))</f>
        <v/>
      </c>
      <c r="Z9" s="82">
        <f>IF(OR($C9="",Z$7=""),"",IF(Y9="",X9,INDEX(Settings_ShiftLegends,IF(MATCH(Y9,Settings_ShiftLegends,0)+1&gt;COUNTA(Settings_ShiftLegends),1,MATCH(Y9,Settings_ShiftLegends,0)+1))))</f>
        <v/>
      </c>
      <c r="AA9" s="82">
        <f>IF(OR($C9="",AA$7=""),"",IF(Z9="",Y9,INDEX(Settings_ShiftLegends,IF(MATCH(Z9,Settings_ShiftLegends,0)+1&gt;COUNTA(Settings_ShiftLegends),1,MATCH(Z9,Settings_ShiftLegends,0)+1))))</f>
        <v/>
      </c>
      <c r="AB9" s="82">
        <f>IF(OR($C9="",AB$7=""),"",IF(AA9="",Z9,INDEX(Settings_ShiftLegends,IF(MATCH(AA9,Settings_ShiftLegends,0)+1&gt;COUNTA(Settings_ShiftLegends),1,MATCH(AA9,Settings_ShiftLegends,0)+1))))</f>
        <v/>
      </c>
      <c r="AC9" s="82">
        <f>IF(OR($C9="",AC$7=""),"",IF(AB9="",AA9,INDEX(Settings_ShiftLegends,IF(MATCH(AB9,Settings_ShiftLegends,0)+1&gt;COUNTA(Settings_ShiftLegends),1,MATCH(AB9,Settings_ShiftLegends,0)+1))))</f>
        <v/>
      </c>
      <c r="AD9" s="82">
        <f>IF(OR($C9="",AD$7=""),"",IF(AC9="",AB9,INDEX(Settings_ShiftLegends,IF(MATCH(AC9,Settings_ShiftLegends,0)+1&gt;COUNTA(Settings_ShiftLegends),1,MATCH(AC9,Settings_ShiftLegends,0)+1))))</f>
        <v/>
      </c>
      <c r="AE9" s="82">
        <f>IF(OR($C9="",AE$7=""),"",IF(AD9="",AC9,INDEX(Settings_ShiftLegends,IF(MATCH(AD9,Settings_ShiftLegends,0)+1&gt;COUNTA(Settings_ShiftLegends),1,MATCH(AD9,Settings_ShiftLegends,0)+1))))</f>
        <v/>
      </c>
      <c r="AF9" s="82">
        <f>IF(OR($C9="",AF$7=""),"",IF(AE9="",AD9,INDEX(Settings_ShiftLegends,IF(MATCH(AE9,Settings_ShiftLegends,0)+1&gt;COUNTA(Settings_ShiftLegends),1,MATCH(AE9,Settings_ShiftLegends,0)+1))))</f>
        <v/>
      </c>
      <c r="AG9" s="82">
        <f>IF(OR($C9="",AG$7=""),"",IF(AF9="",AE9,INDEX(Settings_ShiftLegends,IF(MATCH(AF9,Settings_ShiftLegends,0)+1&gt;COUNTA(Settings_ShiftLegends),1,MATCH(AF9,Settings_ShiftLegends,0)+1))))</f>
        <v/>
      </c>
      <c r="AH9" s="82">
        <f>IF(OR($C9="",AH$7=""),"",IF(AG9="",AF9,INDEX(Settings_ShiftLegends,IF(MATCH(AG9,Settings_ShiftLegends,0)+1&gt;COUNTA(Settings_ShiftLegends),1,MATCH(AG9,Settings_ShiftLegends,0)+1))))</f>
        <v/>
      </c>
      <c r="AI9" s="82">
        <f>IF(OR($C9="",AI$7=""),"",IF(AH9="",AG9,INDEX(Settings_ShiftLegends,IF(MATCH(AH9,Settings_ShiftLegends,0)+1&gt;COUNTA(Settings_ShiftLegends),1,MATCH(AH9,Settings_ShiftLegends,0)+1))))</f>
        <v/>
      </c>
      <c r="AK9" s="82">
        <f>COUNTIF($E9:$AI9,"M*")</f>
        <v/>
      </c>
      <c r="AL9" s="82">
        <f>COUNTIF($E9:$AI9,"A*")</f>
        <v/>
      </c>
      <c r="AM9" s="82">
        <f>COUNTIF($E9:$AI9,"N*")</f>
        <v/>
      </c>
      <c r="AN9" s="82">
        <f>COUNTIF($E9:$AI9,"O*")</f>
        <v/>
      </c>
    </row>
    <row r="10">
      <c r="B10" s="3" t="inlineStr">
        <is>
          <t>Employee -3</t>
        </is>
      </c>
      <c r="C10" s="3" t="inlineStr">
        <is>
          <t>A1</t>
        </is>
      </c>
      <c r="D10" s="11" t="n"/>
      <c r="E10" s="82">
        <f>IF(OR($C10="",E$7=""),"",IF(D10="",C10,INDEX(Settings_ShiftLegends,IF(MATCH(D10,Settings_ShiftLegends,0)+1&gt;COUNTA(Settings_ShiftLegends),1,MATCH(D10,Settings_ShiftLegends,0)+1))))</f>
        <v/>
      </c>
      <c r="F10" s="82">
        <f>IF(OR($C10="",F$7=""),"",IF(E10="",D10,INDEX(Settings_ShiftLegends,IF(MATCH(E10,Settings_ShiftLegends,0)+1&gt;COUNTA(Settings_ShiftLegends),1,MATCH(E10,Settings_ShiftLegends,0)+1))))</f>
        <v/>
      </c>
      <c r="G10" s="82">
        <f>IF(OR($C10="",G$7=""),"",IF(F10="",E10,INDEX(Settings_ShiftLegends,IF(MATCH(F10,Settings_ShiftLegends,0)+1&gt;COUNTA(Settings_ShiftLegends),1,MATCH(F10,Settings_ShiftLegends,0)+1))))</f>
        <v/>
      </c>
      <c r="H10" s="82">
        <f>IF(OR($C10="",H$7=""),"",IF(G10="",F10,INDEX(Settings_ShiftLegends,IF(MATCH(G10,Settings_ShiftLegends,0)+1&gt;COUNTA(Settings_ShiftLegends),1,MATCH(G10,Settings_ShiftLegends,0)+1))))</f>
        <v/>
      </c>
      <c r="I10" s="82">
        <f>IF(OR($C10="",I$7=""),"",IF(H10="",G10,INDEX(Settings_ShiftLegends,IF(MATCH(H10,Settings_ShiftLegends,0)+1&gt;COUNTA(Settings_ShiftLegends),1,MATCH(H10,Settings_ShiftLegends,0)+1))))</f>
        <v/>
      </c>
      <c r="J10" s="82">
        <f>IF(OR($C10="",J$7=""),"",IF(I10="",H10,INDEX(Settings_ShiftLegends,IF(MATCH(I10,Settings_ShiftLegends,0)+1&gt;COUNTA(Settings_ShiftLegends),1,MATCH(I10,Settings_ShiftLegends,0)+1))))</f>
        <v/>
      </c>
      <c r="K10" s="82">
        <f>IF(OR($C10="",K$7=""),"",IF(J10="",I10,INDEX(Settings_ShiftLegends,IF(MATCH(J10,Settings_ShiftLegends,0)+1&gt;COUNTA(Settings_ShiftLegends),1,MATCH(J10,Settings_ShiftLegends,0)+1))))</f>
        <v/>
      </c>
      <c r="L10" s="82">
        <f>IF(OR($C10="",L$7=""),"",IF(K10="",J10,INDEX(Settings_ShiftLegends,IF(MATCH(K10,Settings_ShiftLegends,0)+1&gt;COUNTA(Settings_ShiftLegends),1,MATCH(K10,Settings_ShiftLegends,0)+1))))</f>
        <v/>
      </c>
      <c r="M10" s="82">
        <f>IF(OR($C10="",M$7=""),"",IF(L10="",K10,INDEX(Settings_ShiftLegends,IF(MATCH(L10,Settings_ShiftLegends,0)+1&gt;COUNTA(Settings_ShiftLegends),1,MATCH(L10,Settings_ShiftLegends,0)+1))))</f>
        <v/>
      </c>
      <c r="N10" s="82">
        <f>IF(OR($C10="",N$7=""),"",IF(M10="",L10,INDEX(Settings_ShiftLegends,IF(MATCH(M10,Settings_ShiftLegends,0)+1&gt;COUNTA(Settings_ShiftLegends),1,MATCH(M10,Settings_ShiftLegends,0)+1))))</f>
        <v/>
      </c>
      <c r="O10" s="82">
        <f>IF(OR($C10="",O$7=""),"",IF(N10="",M10,INDEX(Settings_ShiftLegends,IF(MATCH(N10,Settings_ShiftLegends,0)+1&gt;COUNTA(Settings_ShiftLegends),1,MATCH(N10,Settings_ShiftLegends,0)+1))))</f>
        <v/>
      </c>
      <c r="P10" s="82">
        <f>IF(OR($C10="",P$7=""),"",IF(O10="",N10,INDEX(Settings_ShiftLegends,IF(MATCH(O10,Settings_ShiftLegends,0)+1&gt;COUNTA(Settings_ShiftLegends),1,MATCH(O10,Settings_ShiftLegends,0)+1))))</f>
        <v/>
      </c>
      <c r="Q10" s="82">
        <f>IF(OR($C10="",Q$7=""),"",IF(P10="",O10,INDEX(Settings_ShiftLegends,IF(MATCH(P10,Settings_ShiftLegends,0)+1&gt;COUNTA(Settings_ShiftLegends),1,MATCH(P10,Settings_ShiftLegends,0)+1))))</f>
        <v/>
      </c>
      <c r="R10" s="82">
        <f>IF(OR($C10="",R$7=""),"",IF(Q10="",P10,INDEX(Settings_ShiftLegends,IF(MATCH(Q10,Settings_ShiftLegends,0)+1&gt;COUNTA(Settings_ShiftLegends),1,MATCH(Q10,Settings_ShiftLegends,0)+1))))</f>
        <v/>
      </c>
      <c r="S10" s="82">
        <f>IF(OR($C10="",S$7=""),"",IF(R10="",Q10,INDEX(Settings_ShiftLegends,IF(MATCH(R10,Settings_ShiftLegends,0)+1&gt;COUNTA(Settings_ShiftLegends),1,MATCH(R10,Settings_ShiftLegends,0)+1))))</f>
        <v/>
      </c>
      <c r="T10" s="82">
        <f>IF(OR($C10="",T$7=""),"",IF(S10="",R10,INDEX(Settings_ShiftLegends,IF(MATCH(S10,Settings_ShiftLegends,0)+1&gt;COUNTA(Settings_ShiftLegends),1,MATCH(S10,Settings_ShiftLegends,0)+1))))</f>
        <v/>
      </c>
      <c r="U10" s="82">
        <f>IF(OR($C10="",U$7=""),"",IF(T10="",S10,INDEX(Settings_ShiftLegends,IF(MATCH(T10,Settings_ShiftLegends,0)+1&gt;COUNTA(Settings_ShiftLegends),1,MATCH(T10,Settings_ShiftLegends,0)+1))))</f>
        <v/>
      </c>
      <c r="V10" s="82">
        <f>IF(OR($C10="",V$7=""),"",IF(U10="",T10,INDEX(Settings_ShiftLegends,IF(MATCH(U10,Settings_ShiftLegends,0)+1&gt;COUNTA(Settings_ShiftLegends),1,MATCH(U10,Settings_ShiftLegends,0)+1))))</f>
        <v/>
      </c>
      <c r="W10" s="82">
        <f>IF(OR($C10="",W$7=""),"",IF(V10="",U10,INDEX(Settings_ShiftLegends,IF(MATCH(V10,Settings_ShiftLegends,0)+1&gt;COUNTA(Settings_ShiftLegends),1,MATCH(V10,Settings_ShiftLegends,0)+1))))</f>
        <v/>
      </c>
      <c r="X10" s="82">
        <f>IF(OR($C10="",X$7=""),"",IF(W10="",V10,INDEX(Settings_ShiftLegends,IF(MATCH(W10,Settings_ShiftLegends,0)+1&gt;COUNTA(Settings_ShiftLegends),1,MATCH(W10,Settings_ShiftLegends,0)+1))))</f>
        <v/>
      </c>
      <c r="Y10" s="82">
        <f>IF(OR($C10="",Y$7=""),"",IF(X10="",W10,INDEX(Settings_ShiftLegends,IF(MATCH(X10,Settings_ShiftLegends,0)+1&gt;COUNTA(Settings_ShiftLegends),1,MATCH(X10,Settings_ShiftLegends,0)+1))))</f>
        <v/>
      </c>
      <c r="Z10" s="82">
        <f>IF(OR($C10="",Z$7=""),"",IF(Y10="",X10,INDEX(Settings_ShiftLegends,IF(MATCH(Y10,Settings_ShiftLegends,0)+1&gt;COUNTA(Settings_ShiftLegends),1,MATCH(Y10,Settings_ShiftLegends,0)+1))))</f>
        <v/>
      </c>
      <c r="AA10" s="82">
        <f>IF(OR($C10="",AA$7=""),"",IF(Z10="",Y10,INDEX(Settings_ShiftLegends,IF(MATCH(Z10,Settings_ShiftLegends,0)+1&gt;COUNTA(Settings_ShiftLegends),1,MATCH(Z10,Settings_ShiftLegends,0)+1))))</f>
        <v/>
      </c>
      <c r="AB10" s="82">
        <f>IF(OR($C10="",AB$7=""),"",IF(AA10="",Z10,INDEX(Settings_ShiftLegends,IF(MATCH(AA10,Settings_ShiftLegends,0)+1&gt;COUNTA(Settings_ShiftLegends),1,MATCH(AA10,Settings_ShiftLegends,0)+1))))</f>
        <v/>
      </c>
      <c r="AC10" s="82">
        <f>IF(OR($C10="",AC$7=""),"",IF(AB10="",AA10,INDEX(Settings_ShiftLegends,IF(MATCH(AB10,Settings_ShiftLegends,0)+1&gt;COUNTA(Settings_ShiftLegends),1,MATCH(AB10,Settings_ShiftLegends,0)+1))))</f>
        <v/>
      </c>
      <c r="AD10" s="82">
        <f>IF(OR($C10="",AD$7=""),"",IF(AC10="",AB10,INDEX(Settings_ShiftLegends,IF(MATCH(AC10,Settings_ShiftLegends,0)+1&gt;COUNTA(Settings_ShiftLegends),1,MATCH(AC10,Settings_ShiftLegends,0)+1))))</f>
        <v/>
      </c>
      <c r="AE10" s="82">
        <f>IF(OR($C10="",AE$7=""),"",IF(AD10="",AC10,INDEX(Settings_ShiftLegends,IF(MATCH(AD10,Settings_ShiftLegends,0)+1&gt;COUNTA(Settings_ShiftLegends),1,MATCH(AD10,Settings_ShiftLegends,0)+1))))</f>
        <v/>
      </c>
      <c r="AF10" s="82">
        <f>IF(OR($C10="",AF$7=""),"",IF(AE10="",AD10,INDEX(Settings_ShiftLegends,IF(MATCH(AE10,Settings_ShiftLegends,0)+1&gt;COUNTA(Settings_ShiftLegends),1,MATCH(AE10,Settings_ShiftLegends,0)+1))))</f>
        <v/>
      </c>
      <c r="AG10" s="82">
        <f>IF(OR($C10="",AG$7=""),"",IF(AF10="",AE10,INDEX(Settings_ShiftLegends,IF(MATCH(AF10,Settings_ShiftLegends,0)+1&gt;COUNTA(Settings_ShiftLegends),1,MATCH(AF10,Settings_ShiftLegends,0)+1))))</f>
        <v/>
      </c>
      <c r="AH10" s="82">
        <f>IF(OR($C10="",AH$7=""),"",IF(AG10="",AF10,INDEX(Settings_ShiftLegends,IF(MATCH(AG10,Settings_ShiftLegends,0)+1&gt;COUNTA(Settings_ShiftLegends),1,MATCH(AG10,Settings_ShiftLegends,0)+1))))</f>
        <v/>
      </c>
      <c r="AI10" s="82">
        <f>IF(OR($C10="",AI$7=""),"",IF(AH10="",AG10,INDEX(Settings_ShiftLegends,IF(MATCH(AH10,Settings_ShiftLegends,0)+1&gt;COUNTA(Settings_ShiftLegends),1,MATCH(AH10,Settings_ShiftLegends,0)+1))))</f>
        <v/>
      </c>
      <c r="AK10" s="82">
        <f>COUNTIF($E10:$AI10,"M*")</f>
        <v/>
      </c>
      <c r="AL10" s="82">
        <f>COUNTIF($E10:$AI10,"A*")</f>
        <v/>
      </c>
      <c r="AM10" s="82">
        <f>COUNTIF($E10:$AI10,"N*")</f>
        <v/>
      </c>
      <c r="AN10" s="82">
        <f>COUNTIF($E10:$AI10,"O*")</f>
        <v/>
      </c>
    </row>
    <row r="11">
      <c r="B11" s="3" t="inlineStr">
        <is>
          <t>Employee -4</t>
        </is>
      </c>
      <c r="C11" s="3" t="inlineStr">
        <is>
          <t>N1</t>
        </is>
      </c>
      <c r="D11" s="11" t="n"/>
      <c r="E11" s="82">
        <f>IF(OR($C11="",E$7=""),"",IF(D11="",C11,INDEX(Settings_ShiftLegends,IF(MATCH(D11,Settings_ShiftLegends,0)+1&gt;COUNTA(Settings_ShiftLegends),1,MATCH(D11,Settings_ShiftLegends,0)+1))))</f>
        <v/>
      </c>
      <c r="F11" s="82">
        <f>IF(OR($C11="",F$7=""),"",IF(E11="",D11,INDEX(Settings_ShiftLegends,IF(MATCH(E11,Settings_ShiftLegends,0)+1&gt;COUNTA(Settings_ShiftLegends),1,MATCH(E11,Settings_ShiftLegends,0)+1))))</f>
        <v/>
      </c>
      <c r="G11" s="82">
        <f>IF(OR($C11="",G$7=""),"",IF(F11="",E11,INDEX(Settings_ShiftLegends,IF(MATCH(F11,Settings_ShiftLegends,0)+1&gt;COUNTA(Settings_ShiftLegends),1,MATCH(F11,Settings_ShiftLegends,0)+1))))</f>
        <v/>
      </c>
      <c r="H11" s="82">
        <f>IF(OR($C11="",H$7=""),"",IF(G11="",F11,INDEX(Settings_ShiftLegends,IF(MATCH(G11,Settings_ShiftLegends,0)+1&gt;COUNTA(Settings_ShiftLegends),1,MATCH(G11,Settings_ShiftLegends,0)+1))))</f>
        <v/>
      </c>
      <c r="I11" s="82">
        <f>IF(OR($C11="",I$7=""),"",IF(H11="",G11,INDEX(Settings_ShiftLegends,IF(MATCH(H11,Settings_ShiftLegends,0)+1&gt;COUNTA(Settings_ShiftLegends),1,MATCH(H11,Settings_ShiftLegends,0)+1))))</f>
        <v/>
      </c>
      <c r="J11" s="82">
        <f>IF(OR($C11="",J$7=""),"",IF(I11="",H11,INDEX(Settings_ShiftLegends,IF(MATCH(I11,Settings_ShiftLegends,0)+1&gt;COUNTA(Settings_ShiftLegends),1,MATCH(I11,Settings_ShiftLegends,0)+1))))</f>
        <v/>
      </c>
      <c r="K11" s="82">
        <f>IF(OR($C11="",K$7=""),"",IF(J11="",I11,INDEX(Settings_ShiftLegends,IF(MATCH(J11,Settings_ShiftLegends,0)+1&gt;COUNTA(Settings_ShiftLegends),1,MATCH(J11,Settings_ShiftLegends,0)+1))))</f>
        <v/>
      </c>
      <c r="L11" s="82">
        <f>IF(OR($C11="",L$7=""),"",IF(K11="",J11,INDEX(Settings_ShiftLegends,IF(MATCH(K11,Settings_ShiftLegends,0)+1&gt;COUNTA(Settings_ShiftLegends),1,MATCH(K11,Settings_ShiftLegends,0)+1))))</f>
        <v/>
      </c>
      <c r="M11" s="82">
        <f>IF(OR($C11="",M$7=""),"",IF(L11="",K11,INDEX(Settings_ShiftLegends,IF(MATCH(L11,Settings_ShiftLegends,0)+1&gt;COUNTA(Settings_ShiftLegends),1,MATCH(L11,Settings_ShiftLegends,0)+1))))</f>
        <v/>
      </c>
      <c r="N11" s="82">
        <f>IF(OR($C11="",N$7=""),"",IF(M11="",L11,INDEX(Settings_ShiftLegends,IF(MATCH(M11,Settings_ShiftLegends,0)+1&gt;COUNTA(Settings_ShiftLegends),1,MATCH(M11,Settings_ShiftLegends,0)+1))))</f>
        <v/>
      </c>
      <c r="O11" s="82">
        <f>IF(OR($C11="",O$7=""),"",IF(N11="",M11,INDEX(Settings_ShiftLegends,IF(MATCH(N11,Settings_ShiftLegends,0)+1&gt;COUNTA(Settings_ShiftLegends),1,MATCH(N11,Settings_ShiftLegends,0)+1))))</f>
        <v/>
      </c>
      <c r="P11" s="82">
        <f>IF(OR($C11="",P$7=""),"",IF(O11="",N11,INDEX(Settings_ShiftLegends,IF(MATCH(O11,Settings_ShiftLegends,0)+1&gt;COUNTA(Settings_ShiftLegends),1,MATCH(O11,Settings_ShiftLegends,0)+1))))</f>
        <v/>
      </c>
      <c r="Q11" s="82">
        <f>IF(OR($C11="",Q$7=""),"",IF(P11="",O11,INDEX(Settings_ShiftLegends,IF(MATCH(P11,Settings_ShiftLegends,0)+1&gt;COUNTA(Settings_ShiftLegends),1,MATCH(P11,Settings_ShiftLegends,0)+1))))</f>
        <v/>
      </c>
      <c r="R11" s="82">
        <f>IF(OR($C11="",R$7=""),"",IF(Q11="",P11,INDEX(Settings_ShiftLegends,IF(MATCH(Q11,Settings_ShiftLegends,0)+1&gt;COUNTA(Settings_ShiftLegends),1,MATCH(Q11,Settings_ShiftLegends,0)+1))))</f>
        <v/>
      </c>
      <c r="S11" s="82">
        <f>IF(OR($C11="",S$7=""),"",IF(R11="",Q11,INDEX(Settings_ShiftLegends,IF(MATCH(R11,Settings_ShiftLegends,0)+1&gt;COUNTA(Settings_ShiftLegends),1,MATCH(R11,Settings_ShiftLegends,0)+1))))</f>
        <v/>
      </c>
      <c r="T11" s="82">
        <f>IF(OR($C11="",T$7=""),"",IF(S11="",R11,INDEX(Settings_ShiftLegends,IF(MATCH(S11,Settings_ShiftLegends,0)+1&gt;COUNTA(Settings_ShiftLegends),1,MATCH(S11,Settings_ShiftLegends,0)+1))))</f>
        <v/>
      </c>
      <c r="U11" s="82">
        <f>IF(OR($C11="",U$7=""),"",IF(T11="",S11,INDEX(Settings_ShiftLegends,IF(MATCH(T11,Settings_ShiftLegends,0)+1&gt;COUNTA(Settings_ShiftLegends),1,MATCH(T11,Settings_ShiftLegends,0)+1))))</f>
        <v/>
      </c>
      <c r="V11" s="82">
        <f>IF(OR($C11="",V$7=""),"",IF(U11="",T11,INDEX(Settings_ShiftLegends,IF(MATCH(U11,Settings_ShiftLegends,0)+1&gt;COUNTA(Settings_ShiftLegends),1,MATCH(U11,Settings_ShiftLegends,0)+1))))</f>
        <v/>
      </c>
      <c r="W11" s="82">
        <f>IF(OR($C11="",W$7=""),"",IF(V11="",U11,INDEX(Settings_ShiftLegends,IF(MATCH(V11,Settings_ShiftLegends,0)+1&gt;COUNTA(Settings_ShiftLegends),1,MATCH(V11,Settings_ShiftLegends,0)+1))))</f>
        <v/>
      </c>
      <c r="X11" s="82">
        <f>IF(OR($C11="",X$7=""),"",IF(W11="",V11,INDEX(Settings_ShiftLegends,IF(MATCH(W11,Settings_ShiftLegends,0)+1&gt;COUNTA(Settings_ShiftLegends),1,MATCH(W11,Settings_ShiftLegends,0)+1))))</f>
        <v/>
      </c>
      <c r="Y11" s="82">
        <f>IF(OR($C11="",Y$7=""),"",IF(X11="",W11,INDEX(Settings_ShiftLegends,IF(MATCH(X11,Settings_ShiftLegends,0)+1&gt;COUNTA(Settings_ShiftLegends),1,MATCH(X11,Settings_ShiftLegends,0)+1))))</f>
        <v/>
      </c>
      <c r="Z11" s="82">
        <f>IF(OR($C11="",Z$7=""),"",IF(Y11="",X11,INDEX(Settings_ShiftLegends,IF(MATCH(Y11,Settings_ShiftLegends,0)+1&gt;COUNTA(Settings_ShiftLegends),1,MATCH(Y11,Settings_ShiftLegends,0)+1))))</f>
        <v/>
      </c>
      <c r="AA11" s="82">
        <f>IF(OR($C11="",AA$7=""),"",IF(Z11="",Y11,INDEX(Settings_ShiftLegends,IF(MATCH(Z11,Settings_ShiftLegends,0)+1&gt;COUNTA(Settings_ShiftLegends),1,MATCH(Z11,Settings_ShiftLegends,0)+1))))</f>
        <v/>
      </c>
      <c r="AB11" s="82">
        <f>IF(OR($C11="",AB$7=""),"",IF(AA11="",Z11,INDEX(Settings_ShiftLegends,IF(MATCH(AA11,Settings_ShiftLegends,0)+1&gt;COUNTA(Settings_ShiftLegends),1,MATCH(AA11,Settings_ShiftLegends,0)+1))))</f>
        <v/>
      </c>
      <c r="AC11" s="82">
        <f>IF(OR($C11="",AC$7=""),"",IF(AB11="",AA11,INDEX(Settings_ShiftLegends,IF(MATCH(AB11,Settings_ShiftLegends,0)+1&gt;COUNTA(Settings_ShiftLegends),1,MATCH(AB11,Settings_ShiftLegends,0)+1))))</f>
        <v/>
      </c>
      <c r="AD11" s="82">
        <f>IF(OR($C11="",AD$7=""),"",IF(AC11="",AB11,INDEX(Settings_ShiftLegends,IF(MATCH(AC11,Settings_ShiftLegends,0)+1&gt;COUNTA(Settings_ShiftLegends),1,MATCH(AC11,Settings_ShiftLegends,0)+1))))</f>
        <v/>
      </c>
      <c r="AE11" s="82">
        <f>IF(OR($C11="",AE$7=""),"",IF(AD11="",AC11,INDEX(Settings_ShiftLegends,IF(MATCH(AD11,Settings_ShiftLegends,0)+1&gt;COUNTA(Settings_ShiftLegends),1,MATCH(AD11,Settings_ShiftLegends,0)+1))))</f>
        <v/>
      </c>
      <c r="AF11" s="82">
        <f>IF(OR($C11="",AF$7=""),"",IF(AE11="",AD11,INDEX(Settings_ShiftLegends,IF(MATCH(AE11,Settings_ShiftLegends,0)+1&gt;COUNTA(Settings_ShiftLegends),1,MATCH(AE11,Settings_ShiftLegends,0)+1))))</f>
        <v/>
      </c>
      <c r="AG11" s="82">
        <f>IF(OR($C11="",AG$7=""),"",IF(AF11="",AE11,INDEX(Settings_ShiftLegends,IF(MATCH(AF11,Settings_ShiftLegends,0)+1&gt;COUNTA(Settings_ShiftLegends),1,MATCH(AF11,Settings_ShiftLegends,0)+1))))</f>
        <v/>
      </c>
      <c r="AH11" s="82">
        <f>IF(OR($C11="",AH$7=""),"",IF(AG11="",AF11,INDEX(Settings_ShiftLegends,IF(MATCH(AG11,Settings_ShiftLegends,0)+1&gt;COUNTA(Settings_ShiftLegends),1,MATCH(AG11,Settings_ShiftLegends,0)+1))))</f>
        <v/>
      </c>
      <c r="AI11" s="82">
        <f>IF(OR($C11="",AI$7=""),"",IF(AH11="",AG11,INDEX(Settings_ShiftLegends,IF(MATCH(AH11,Settings_ShiftLegends,0)+1&gt;COUNTA(Settings_ShiftLegends),1,MATCH(AH11,Settings_ShiftLegends,0)+1))))</f>
        <v/>
      </c>
      <c r="AK11" s="82">
        <f>COUNTIF($E11:$AI11,"M*")</f>
        <v/>
      </c>
      <c r="AL11" s="82">
        <f>COUNTIF($E11:$AI11,"A*")</f>
        <v/>
      </c>
      <c r="AM11" s="82">
        <f>COUNTIF($E11:$AI11,"N*")</f>
        <v/>
      </c>
      <c r="AN11" s="82">
        <f>COUNTIF($E11:$AI11,"O*")</f>
        <v/>
      </c>
    </row>
    <row r="12">
      <c r="B12" s="3" t="inlineStr">
        <is>
          <t>Employee -5</t>
        </is>
      </c>
      <c r="C12" s="3" t="inlineStr">
        <is>
          <t>N2</t>
        </is>
      </c>
      <c r="D12" s="11" t="n"/>
      <c r="E12" s="82">
        <f>IF(OR($C12="",E$7=""),"",IF(D12="",C12,INDEX(Settings_ShiftLegends,IF(MATCH(D12,Settings_ShiftLegends,0)+1&gt;COUNTA(Settings_ShiftLegends),1,MATCH(D12,Settings_ShiftLegends,0)+1))))</f>
        <v/>
      </c>
      <c r="F12" s="82">
        <f>IF(OR($C12="",F$7=""),"",IF(E12="",D12,INDEX(Settings_ShiftLegends,IF(MATCH(E12,Settings_ShiftLegends,0)+1&gt;COUNTA(Settings_ShiftLegends),1,MATCH(E12,Settings_ShiftLegends,0)+1))))</f>
        <v/>
      </c>
      <c r="G12" s="82">
        <f>IF(OR($C12="",G$7=""),"",IF(F12="",E12,INDEX(Settings_ShiftLegends,IF(MATCH(F12,Settings_ShiftLegends,0)+1&gt;COUNTA(Settings_ShiftLegends),1,MATCH(F12,Settings_ShiftLegends,0)+1))))</f>
        <v/>
      </c>
      <c r="H12" s="82">
        <f>IF(OR($C12="",H$7=""),"",IF(G12="",F12,INDEX(Settings_ShiftLegends,IF(MATCH(G12,Settings_ShiftLegends,0)+1&gt;COUNTA(Settings_ShiftLegends),1,MATCH(G12,Settings_ShiftLegends,0)+1))))</f>
        <v/>
      </c>
      <c r="I12" s="82">
        <f>IF(OR($C12="",I$7=""),"",IF(H12="",G12,INDEX(Settings_ShiftLegends,IF(MATCH(H12,Settings_ShiftLegends,0)+1&gt;COUNTA(Settings_ShiftLegends),1,MATCH(H12,Settings_ShiftLegends,0)+1))))</f>
        <v/>
      </c>
      <c r="J12" s="82">
        <f>IF(OR($C12="",J$7=""),"",IF(I12="",H12,INDEX(Settings_ShiftLegends,IF(MATCH(I12,Settings_ShiftLegends,0)+1&gt;COUNTA(Settings_ShiftLegends),1,MATCH(I12,Settings_ShiftLegends,0)+1))))</f>
        <v/>
      </c>
      <c r="K12" s="82">
        <f>IF(OR($C12="",K$7=""),"",IF(J12="",I12,INDEX(Settings_ShiftLegends,IF(MATCH(J12,Settings_ShiftLegends,0)+1&gt;COUNTA(Settings_ShiftLegends),1,MATCH(J12,Settings_ShiftLegends,0)+1))))</f>
        <v/>
      </c>
      <c r="L12" s="82">
        <f>IF(OR($C12="",L$7=""),"",IF(K12="",J12,INDEX(Settings_ShiftLegends,IF(MATCH(K12,Settings_ShiftLegends,0)+1&gt;COUNTA(Settings_ShiftLegends),1,MATCH(K12,Settings_ShiftLegends,0)+1))))</f>
        <v/>
      </c>
      <c r="M12" s="82">
        <f>IF(OR($C12="",M$7=""),"",IF(L12="",K12,INDEX(Settings_ShiftLegends,IF(MATCH(L12,Settings_ShiftLegends,0)+1&gt;COUNTA(Settings_ShiftLegends),1,MATCH(L12,Settings_ShiftLegends,0)+1))))</f>
        <v/>
      </c>
      <c r="N12" s="82">
        <f>IF(OR($C12="",N$7=""),"",IF(M12="",L12,INDEX(Settings_ShiftLegends,IF(MATCH(M12,Settings_ShiftLegends,0)+1&gt;COUNTA(Settings_ShiftLegends),1,MATCH(M12,Settings_ShiftLegends,0)+1))))</f>
        <v/>
      </c>
      <c r="O12" s="82">
        <f>IF(OR($C12="",O$7=""),"",IF(N12="",M12,INDEX(Settings_ShiftLegends,IF(MATCH(N12,Settings_ShiftLegends,0)+1&gt;COUNTA(Settings_ShiftLegends),1,MATCH(N12,Settings_ShiftLegends,0)+1))))</f>
        <v/>
      </c>
      <c r="P12" s="82">
        <f>IF(OR($C12="",P$7=""),"",IF(O12="",N12,INDEX(Settings_ShiftLegends,IF(MATCH(O12,Settings_ShiftLegends,0)+1&gt;COUNTA(Settings_ShiftLegends),1,MATCH(O12,Settings_ShiftLegends,0)+1))))</f>
        <v/>
      </c>
      <c r="Q12" s="82">
        <f>IF(OR($C12="",Q$7=""),"",IF(P12="",O12,INDEX(Settings_ShiftLegends,IF(MATCH(P12,Settings_ShiftLegends,0)+1&gt;COUNTA(Settings_ShiftLegends),1,MATCH(P12,Settings_ShiftLegends,0)+1))))</f>
        <v/>
      </c>
      <c r="R12" s="82">
        <f>IF(OR($C12="",R$7=""),"",IF(Q12="",P12,INDEX(Settings_ShiftLegends,IF(MATCH(Q12,Settings_ShiftLegends,0)+1&gt;COUNTA(Settings_ShiftLegends),1,MATCH(Q12,Settings_ShiftLegends,0)+1))))</f>
        <v/>
      </c>
      <c r="S12" s="82">
        <f>IF(OR($C12="",S$7=""),"",IF(R12="",Q12,INDEX(Settings_ShiftLegends,IF(MATCH(R12,Settings_ShiftLegends,0)+1&gt;COUNTA(Settings_ShiftLegends),1,MATCH(R12,Settings_ShiftLegends,0)+1))))</f>
        <v/>
      </c>
      <c r="T12" s="82">
        <f>IF(OR($C12="",T$7=""),"",IF(S12="",R12,INDEX(Settings_ShiftLegends,IF(MATCH(S12,Settings_ShiftLegends,0)+1&gt;COUNTA(Settings_ShiftLegends),1,MATCH(S12,Settings_ShiftLegends,0)+1))))</f>
        <v/>
      </c>
      <c r="U12" s="82">
        <f>IF(OR($C12="",U$7=""),"",IF(T12="",S12,INDEX(Settings_ShiftLegends,IF(MATCH(T12,Settings_ShiftLegends,0)+1&gt;COUNTA(Settings_ShiftLegends),1,MATCH(T12,Settings_ShiftLegends,0)+1))))</f>
        <v/>
      </c>
      <c r="V12" s="82">
        <f>IF(OR($C12="",V$7=""),"",IF(U12="",T12,INDEX(Settings_ShiftLegends,IF(MATCH(U12,Settings_ShiftLegends,0)+1&gt;COUNTA(Settings_ShiftLegends),1,MATCH(U12,Settings_ShiftLegends,0)+1))))</f>
        <v/>
      </c>
      <c r="W12" s="82">
        <f>IF(OR($C12="",W$7=""),"",IF(V12="",U12,INDEX(Settings_ShiftLegends,IF(MATCH(V12,Settings_ShiftLegends,0)+1&gt;COUNTA(Settings_ShiftLegends),1,MATCH(V12,Settings_ShiftLegends,0)+1))))</f>
        <v/>
      </c>
      <c r="X12" s="82">
        <f>IF(OR($C12="",X$7=""),"",IF(W12="",V12,INDEX(Settings_ShiftLegends,IF(MATCH(W12,Settings_ShiftLegends,0)+1&gt;COUNTA(Settings_ShiftLegends),1,MATCH(W12,Settings_ShiftLegends,0)+1))))</f>
        <v/>
      </c>
      <c r="Y12" s="82">
        <f>IF(OR($C12="",Y$7=""),"",IF(X12="",W12,INDEX(Settings_ShiftLegends,IF(MATCH(X12,Settings_ShiftLegends,0)+1&gt;COUNTA(Settings_ShiftLegends),1,MATCH(X12,Settings_ShiftLegends,0)+1))))</f>
        <v/>
      </c>
      <c r="Z12" s="82">
        <f>IF(OR($C12="",Z$7=""),"",IF(Y12="",X12,INDEX(Settings_ShiftLegends,IF(MATCH(Y12,Settings_ShiftLegends,0)+1&gt;COUNTA(Settings_ShiftLegends),1,MATCH(Y12,Settings_ShiftLegends,0)+1))))</f>
        <v/>
      </c>
      <c r="AA12" s="82">
        <f>IF(OR($C12="",AA$7=""),"",IF(Z12="",Y12,INDEX(Settings_ShiftLegends,IF(MATCH(Z12,Settings_ShiftLegends,0)+1&gt;COUNTA(Settings_ShiftLegends),1,MATCH(Z12,Settings_ShiftLegends,0)+1))))</f>
        <v/>
      </c>
      <c r="AB12" s="82">
        <f>IF(OR($C12="",AB$7=""),"",IF(AA12="",Z12,INDEX(Settings_ShiftLegends,IF(MATCH(AA12,Settings_ShiftLegends,0)+1&gt;COUNTA(Settings_ShiftLegends),1,MATCH(AA12,Settings_ShiftLegends,0)+1))))</f>
        <v/>
      </c>
      <c r="AC12" s="82">
        <f>IF(OR($C12="",AC$7=""),"",IF(AB12="",AA12,INDEX(Settings_ShiftLegends,IF(MATCH(AB12,Settings_ShiftLegends,0)+1&gt;COUNTA(Settings_ShiftLegends),1,MATCH(AB12,Settings_ShiftLegends,0)+1))))</f>
        <v/>
      </c>
      <c r="AD12" s="82">
        <f>IF(OR($C12="",AD$7=""),"",IF(AC12="",AB12,INDEX(Settings_ShiftLegends,IF(MATCH(AC12,Settings_ShiftLegends,0)+1&gt;COUNTA(Settings_ShiftLegends),1,MATCH(AC12,Settings_ShiftLegends,0)+1))))</f>
        <v/>
      </c>
      <c r="AE12" s="82">
        <f>IF(OR($C12="",AE$7=""),"",IF(AD12="",AC12,INDEX(Settings_ShiftLegends,IF(MATCH(AD12,Settings_ShiftLegends,0)+1&gt;COUNTA(Settings_ShiftLegends),1,MATCH(AD12,Settings_ShiftLegends,0)+1))))</f>
        <v/>
      </c>
      <c r="AF12" s="82">
        <f>IF(OR($C12="",AF$7=""),"",IF(AE12="",AD12,INDEX(Settings_ShiftLegends,IF(MATCH(AE12,Settings_ShiftLegends,0)+1&gt;COUNTA(Settings_ShiftLegends),1,MATCH(AE12,Settings_ShiftLegends,0)+1))))</f>
        <v/>
      </c>
      <c r="AG12" s="82">
        <f>IF(OR($C12="",AG$7=""),"",IF(AF12="",AE12,INDEX(Settings_ShiftLegends,IF(MATCH(AF12,Settings_ShiftLegends,0)+1&gt;COUNTA(Settings_ShiftLegends),1,MATCH(AF12,Settings_ShiftLegends,0)+1))))</f>
        <v/>
      </c>
      <c r="AH12" s="82">
        <f>IF(OR($C12="",AH$7=""),"",IF(AG12="",AF12,INDEX(Settings_ShiftLegends,IF(MATCH(AG12,Settings_ShiftLegends,0)+1&gt;COUNTA(Settings_ShiftLegends),1,MATCH(AG12,Settings_ShiftLegends,0)+1))))</f>
        <v/>
      </c>
      <c r="AI12" s="82">
        <f>IF(OR($C12="",AI$7=""),"",IF(AH12="",AG12,INDEX(Settings_ShiftLegends,IF(MATCH(AH12,Settings_ShiftLegends,0)+1&gt;COUNTA(Settings_ShiftLegends),1,MATCH(AH12,Settings_ShiftLegends,0)+1))))</f>
        <v/>
      </c>
      <c r="AK12" s="82">
        <f>COUNTIF($E12:$AI12,"M*")</f>
        <v/>
      </c>
      <c r="AL12" s="82">
        <f>COUNTIF($E12:$AI12,"A*")</f>
        <v/>
      </c>
      <c r="AM12" s="82">
        <f>COUNTIF($E12:$AI12,"N*")</f>
        <v/>
      </c>
      <c r="AN12" s="82">
        <f>COUNTIF($E12:$AI12,"O*")</f>
        <v/>
      </c>
    </row>
    <row r="13">
      <c r="B13" s="3" t="inlineStr">
        <is>
          <t>Employee -6</t>
        </is>
      </c>
      <c r="C13" s="3" t="inlineStr">
        <is>
          <t>O1</t>
        </is>
      </c>
      <c r="D13" s="11" t="n"/>
      <c r="E13" s="82">
        <f>IF(OR($C13="",E$7=""),"",IF(D13="",C13,INDEX(Settings_ShiftLegends,IF(MATCH(D13,Settings_ShiftLegends,0)+1&gt;COUNTA(Settings_ShiftLegends),1,MATCH(D13,Settings_ShiftLegends,0)+1))))</f>
        <v/>
      </c>
      <c r="F13" s="82">
        <f>IF(OR($C13="",F$7=""),"",IF(E13="",D13,INDEX(Settings_ShiftLegends,IF(MATCH(E13,Settings_ShiftLegends,0)+1&gt;COUNTA(Settings_ShiftLegends),1,MATCH(E13,Settings_ShiftLegends,0)+1))))</f>
        <v/>
      </c>
      <c r="G13" s="82">
        <f>IF(OR($C13="",G$7=""),"",IF(F13="",E13,INDEX(Settings_ShiftLegends,IF(MATCH(F13,Settings_ShiftLegends,0)+1&gt;COUNTA(Settings_ShiftLegends),1,MATCH(F13,Settings_ShiftLegends,0)+1))))</f>
        <v/>
      </c>
      <c r="H13" s="82">
        <f>IF(OR($C13="",H$7=""),"",IF(G13="",F13,INDEX(Settings_ShiftLegends,IF(MATCH(G13,Settings_ShiftLegends,0)+1&gt;COUNTA(Settings_ShiftLegends),1,MATCH(G13,Settings_ShiftLegends,0)+1))))</f>
        <v/>
      </c>
      <c r="I13" s="82">
        <f>IF(OR($C13="",I$7=""),"",IF(H13="",G13,INDEX(Settings_ShiftLegends,IF(MATCH(H13,Settings_ShiftLegends,0)+1&gt;COUNTA(Settings_ShiftLegends),1,MATCH(H13,Settings_ShiftLegends,0)+1))))</f>
        <v/>
      </c>
      <c r="J13" s="82">
        <f>IF(OR($C13="",J$7=""),"",IF(I13="",H13,INDEX(Settings_ShiftLegends,IF(MATCH(I13,Settings_ShiftLegends,0)+1&gt;COUNTA(Settings_ShiftLegends),1,MATCH(I13,Settings_ShiftLegends,0)+1))))</f>
        <v/>
      </c>
      <c r="K13" s="82">
        <f>IF(OR($C13="",K$7=""),"",IF(J13="",I13,INDEX(Settings_ShiftLegends,IF(MATCH(J13,Settings_ShiftLegends,0)+1&gt;COUNTA(Settings_ShiftLegends),1,MATCH(J13,Settings_ShiftLegends,0)+1))))</f>
        <v/>
      </c>
      <c r="L13" s="82">
        <f>IF(OR($C13="",L$7=""),"",IF(K13="",J13,INDEX(Settings_ShiftLegends,IF(MATCH(K13,Settings_ShiftLegends,0)+1&gt;COUNTA(Settings_ShiftLegends),1,MATCH(K13,Settings_ShiftLegends,0)+1))))</f>
        <v/>
      </c>
      <c r="M13" s="82">
        <f>IF(OR($C13="",M$7=""),"",IF(L13="",K13,INDEX(Settings_ShiftLegends,IF(MATCH(L13,Settings_ShiftLegends,0)+1&gt;COUNTA(Settings_ShiftLegends),1,MATCH(L13,Settings_ShiftLegends,0)+1))))</f>
        <v/>
      </c>
      <c r="N13" s="82">
        <f>IF(OR($C13="",N$7=""),"",IF(M13="",L13,INDEX(Settings_ShiftLegends,IF(MATCH(M13,Settings_ShiftLegends,0)+1&gt;COUNTA(Settings_ShiftLegends),1,MATCH(M13,Settings_ShiftLegends,0)+1))))</f>
        <v/>
      </c>
      <c r="O13" s="82">
        <f>IF(OR($C13="",O$7=""),"",IF(N13="",M13,INDEX(Settings_ShiftLegends,IF(MATCH(N13,Settings_ShiftLegends,0)+1&gt;COUNTA(Settings_ShiftLegends),1,MATCH(N13,Settings_ShiftLegends,0)+1))))</f>
        <v/>
      </c>
      <c r="P13" s="82">
        <f>IF(OR($C13="",P$7=""),"",IF(O13="",N13,INDEX(Settings_ShiftLegends,IF(MATCH(O13,Settings_ShiftLegends,0)+1&gt;COUNTA(Settings_ShiftLegends),1,MATCH(O13,Settings_ShiftLegends,0)+1))))</f>
        <v/>
      </c>
      <c r="Q13" s="82">
        <f>IF(OR($C13="",Q$7=""),"",IF(P13="",O13,INDEX(Settings_ShiftLegends,IF(MATCH(P13,Settings_ShiftLegends,0)+1&gt;COUNTA(Settings_ShiftLegends),1,MATCH(P13,Settings_ShiftLegends,0)+1))))</f>
        <v/>
      </c>
      <c r="R13" s="82">
        <f>IF(OR($C13="",R$7=""),"",IF(Q13="",P13,INDEX(Settings_ShiftLegends,IF(MATCH(Q13,Settings_ShiftLegends,0)+1&gt;COUNTA(Settings_ShiftLegends),1,MATCH(Q13,Settings_ShiftLegends,0)+1))))</f>
        <v/>
      </c>
      <c r="S13" s="82">
        <f>IF(OR($C13="",S$7=""),"",IF(R13="",Q13,INDEX(Settings_ShiftLegends,IF(MATCH(R13,Settings_ShiftLegends,0)+1&gt;COUNTA(Settings_ShiftLegends),1,MATCH(R13,Settings_ShiftLegends,0)+1))))</f>
        <v/>
      </c>
      <c r="T13" s="82">
        <f>IF(OR($C13="",T$7=""),"",IF(S13="",R13,INDEX(Settings_ShiftLegends,IF(MATCH(S13,Settings_ShiftLegends,0)+1&gt;COUNTA(Settings_ShiftLegends),1,MATCH(S13,Settings_ShiftLegends,0)+1))))</f>
        <v/>
      </c>
      <c r="U13" s="82">
        <f>IF(OR($C13="",U$7=""),"",IF(T13="",S13,INDEX(Settings_ShiftLegends,IF(MATCH(T13,Settings_ShiftLegends,0)+1&gt;COUNTA(Settings_ShiftLegends),1,MATCH(T13,Settings_ShiftLegends,0)+1))))</f>
        <v/>
      </c>
      <c r="V13" s="82">
        <f>IF(OR($C13="",V$7=""),"",IF(U13="",T13,INDEX(Settings_ShiftLegends,IF(MATCH(U13,Settings_ShiftLegends,0)+1&gt;COUNTA(Settings_ShiftLegends),1,MATCH(U13,Settings_ShiftLegends,0)+1))))</f>
        <v/>
      </c>
      <c r="W13" s="82">
        <f>IF(OR($C13="",W$7=""),"",IF(V13="",U13,INDEX(Settings_ShiftLegends,IF(MATCH(V13,Settings_ShiftLegends,0)+1&gt;COUNTA(Settings_ShiftLegends),1,MATCH(V13,Settings_ShiftLegends,0)+1))))</f>
        <v/>
      </c>
      <c r="X13" s="82">
        <f>IF(OR($C13="",X$7=""),"",IF(W13="",V13,INDEX(Settings_ShiftLegends,IF(MATCH(W13,Settings_ShiftLegends,0)+1&gt;COUNTA(Settings_ShiftLegends),1,MATCH(W13,Settings_ShiftLegends,0)+1))))</f>
        <v/>
      </c>
      <c r="Y13" s="82">
        <f>IF(OR($C13="",Y$7=""),"",IF(X13="",W13,INDEX(Settings_ShiftLegends,IF(MATCH(X13,Settings_ShiftLegends,0)+1&gt;COUNTA(Settings_ShiftLegends),1,MATCH(X13,Settings_ShiftLegends,0)+1))))</f>
        <v/>
      </c>
      <c r="Z13" s="82">
        <f>IF(OR($C13="",Z$7=""),"",IF(Y13="",X13,INDEX(Settings_ShiftLegends,IF(MATCH(Y13,Settings_ShiftLegends,0)+1&gt;COUNTA(Settings_ShiftLegends),1,MATCH(Y13,Settings_ShiftLegends,0)+1))))</f>
        <v/>
      </c>
      <c r="AA13" s="82">
        <f>IF(OR($C13="",AA$7=""),"",IF(Z13="",Y13,INDEX(Settings_ShiftLegends,IF(MATCH(Z13,Settings_ShiftLegends,0)+1&gt;COUNTA(Settings_ShiftLegends),1,MATCH(Z13,Settings_ShiftLegends,0)+1))))</f>
        <v/>
      </c>
      <c r="AB13" s="82">
        <f>IF(OR($C13="",AB$7=""),"",IF(AA13="",Z13,INDEX(Settings_ShiftLegends,IF(MATCH(AA13,Settings_ShiftLegends,0)+1&gt;COUNTA(Settings_ShiftLegends),1,MATCH(AA13,Settings_ShiftLegends,0)+1))))</f>
        <v/>
      </c>
      <c r="AC13" s="82">
        <f>IF(OR($C13="",AC$7=""),"",IF(AB13="",AA13,INDEX(Settings_ShiftLegends,IF(MATCH(AB13,Settings_ShiftLegends,0)+1&gt;COUNTA(Settings_ShiftLegends),1,MATCH(AB13,Settings_ShiftLegends,0)+1))))</f>
        <v/>
      </c>
      <c r="AD13" s="82">
        <f>IF(OR($C13="",AD$7=""),"",IF(AC13="",AB13,INDEX(Settings_ShiftLegends,IF(MATCH(AC13,Settings_ShiftLegends,0)+1&gt;COUNTA(Settings_ShiftLegends),1,MATCH(AC13,Settings_ShiftLegends,0)+1))))</f>
        <v/>
      </c>
      <c r="AE13" s="82">
        <f>IF(OR($C13="",AE$7=""),"",IF(AD13="",AC13,INDEX(Settings_ShiftLegends,IF(MATCH(AD13,Settings_ShiftLegends,0)+1&gt;COUNTA(Settings_ShiftLegends),1,MATCH(AD13,Settings_ShiftLegends,0)+1))))</f>
        <v/>
      </c>
      <c r="AF13" s="82">
        <f>IF(OR($C13="",AF$7=""),"",IF(AE13="",AD13,INDEX(Settings_ShiftLegends,IF(MATCH(AE13,Settings_ShiftLegends,0)+1&gt;COUNTA(Settings_ShiftLegends),1,MATCH(AE13,Settings_ShiftLegends,0)+1))))</f>
        <v/>
      </c>
      <c r="AG13" s="82">
        <f>IF(OR($C13="",AG$7=""),"",IF(AF13="",AE13,INDEX(Settings_ShiftLegends,IF(MATCH(AF13,Settings_ShiftLegends,0)+1&gt;COUNTA(Settings_ShiftLegends),1,MATCH(AF13,Settings_ShiftLegends,0)+1))))</f>
        <v/>
      </c>
      <c r="AH13" s="82">
        <f>IF(OR($C13="",AH$7=""),"",IF(AG13="",AF13,INDEX(Settings_ShiftLegends,IF(MATCH(AG13,Settings_ShiftLegends,0)+1&gt;COUNTA(Settings_ShiftLegends),1,MATCH(AG13,Settings_ShiftLegends,0)+1))))</f>
        <v/>
      </c>
      <c r="AI13" s="82">
        <f>IF(OR($C13="",AI$7=""),"",IF(AH13="",AG13,INDEX(Settings_ShiftLegends,IF(MATCH(AH13,Settings_ShiftLegends,0)+1&gt;COUNTA(Settings_ShiftLegends),1,MATCH(AH13,Settings_ShiftLegends,0)+1))))</f>
        <v/>
      </c>
      <c r="AK13" s="82">
        <f>COUNTIF($E13:$AI13,"M*")</f>
        <v/>
      </c>
      <c r="AL13" s="82">
        <f>COUNTIF($E13:$AI13,"A*")</f>
        <v/>
      </c>
      <c r="AM13" s="82">
        <f>COUNTIF($E13:$AI13,"N*")</f>
        <v/>
      </c>
      <c r="AN13" s="82">
        <f>COUNTIF($E13:$AI13,"O*")</f>
        <v/>
      </c>
    </row>
    <row r="14">
      <c r="B14" s="3" t="inlineStr">
        <is>
          <t>Employee -7</t>
        </is>
      </c>
      <c r="C14" s="3" t="inlineStr">
        <is>
          <t>O2</t>
        </is>
      </c>
      <c r="D14" s="11" t="n"/>
      <c r="E14" s="82">
        <f>IF(OR($C14="",E$7=""),"",IF(D14="",C14,INDEX(Settings_ShiftLegends,IF(MATCH(D14,Settings_ShiftLegends,0)+1&gt;COUNTA(Settings_ShiftLegends),1,MATCH(D14,Settings_ShiftLegends,0)+1))))</f>
        <v/>
      </c>
      <c r="F14" s="82">
        <f>IF(OR($C14="",F$7=""),"",IF(E14="",D14,INDEX(Settings_ShiftLegends,IF(MATCH(E14,Settings_ShiftLegends,0)+1&gt;COUNTA(Settings_ShiftLegends),1,MATCH(E14,Settings_ShiftLegends,0)+1))))</f>
        <v/>
      </c>
      <c r="G14" s="82">
        <f>IF(OR($C14="",G$7=""),"",IF(F14="",E14,INDEX(Settings_ShiftLegends,IF(MATCH(F14,Settings_ShiftLegends,0)+1&gt;COUNTA(Settings_ShiftLegends),1,MATCH(F14,Settings_ShiftLegends,0)+1))))</f>
        <v/>
      </c>
      <c r="H14" s="82">
        <f>IF(OR($C14="",H$7=""),"",IF(G14="",F14,INDEX(Settings_ShiftLegends,IF(MATCH(G14,Settings_ShiftLegends,0)+1&gt;COUNTA(Settings_ShiftLegends),1,MATCH(G14,Settings_ShiftLegends,0)+1))))</f>
        <v/>
      </c>
      <c r="I14" s="82">
        <f>IF(OR($C14="",I$7=""),"",IF(H14="",G14,INDEX(Settings_ShiftLegends,IF(MATCH(H14,Settings_ShiftLegends,0)+1&gt;COUNTA(Settings_ShiftLegends),1,MATCH(H14,Settings_ShiftLegends,0)+1))))</f>
        <v/>
      </c>
      <c r="J14" s="82">
        <f>IF(OR($C14="",J$7=""),"",IF(I14="",H14,INDEX(Settings_ShiftLegends,IF(MATCH(I14,Settings_ShiftLegends,0)+1&gt;COUNTA(Settings_ShiftLegends),1,MATCH(I14,Settings_ShiftLegends,0)+1))))</f>
        <v/>
      </c>
      <c r="K14" s="82">
        <f>IF(OR($C14="",K$7=""),"",IF(J14="",I14,INDEX(Settings_ShiftLegends,IF(MATCH(J14,Settings_ShiftLegends,0)+1&gt;COUNTA(Settings_ShiftLegends),1,MATCH(J14,Settings_ShiftLegends,0)+1))))</f>
        <v/>
      </c>
      <c r="L14" s="82">
        <f>IF(OR($C14="",L$7=""),"",IF(K14="",J14,INDEX(Settings_ShiftLegends,IF(MATCH(K14,Settings_ShiftLegends,0)+1&gt;COUNTA(Settings_ShiftLegends),1,MATCH(K14,Settings_ShiftLegends,0)+1))))</f>
        <v/>
      </c>
      <c r="M14" s="82">
        <f>IF(OR($C14="",M$7=""),"",IF(L14="",K14,INDEX(Settings_ShiftLegends,IF(MATCH(L14,Settings_ShiftLegends,0)+1&gt;COUNTA(Settings_ShiftLegends),1,MATCH(L14,Settings_ShiftLegends,0)+1))))</f>
        <v/>
      </c>
      <c r="N14" s="82">
        <f>IF(OR($C14="",N$7=""),"",IF(M14="",L14,INDEX(Settings_ShiftLegends,IF(MATCH(M14,Settings_ShiftLegends,0)+1&gt;COUNTA(Settings_ShiftLegends),1,MATCH(M14,Settings_ShiftLegends,0)+1))))</f>
        <v/>
      </c>
      <c r="O14" s="82">
        <f>IF(OR($C14="",O$7=""),"",IF(N14="",M14,INDEX(Settings_ShiftLegends,IF(MATCH(N14,Settings_ShiftLegends,0)+1&gt;COUNTA(Settings_ShiftLegends),1,MATCH(N14,Settings_ShiftLegends,0)+1))))</f>
        <v/>
      </c>
      <c r="P14" s="82">
        <f>IF(OR($C14="",P$7=""),"",IF(O14="",N14,INDEX(Settings_ShiftLegends,IF(MATCH(O14,Settings_ShiftLegends,0)+1&gt;COUNTA(Settings_ShiftLegends),1,MATCH(O14,Settings_ShiftLegends,0)+1))))</f>
        <v/>
      </c>
      <c r="Q14" s="82">
        <f>IF(OR($C14="",Q$7=""),"",IF(P14="",O14,INDEX(Settings_ShiftLegends,IF(MATCH(P14,Settings_ShiftLegends,0)+1&gt;COUNTA(Settings_ShiftLegends),1,MATCH(P14,Settings_ShiftLegends,0)+1))))</f>
        <v/>
      </c>
      <c r="R14" s="82">
        <f>IF(OR($C14="",R$7=""),"",IF(Q14="",P14,INDEX(Settings_ShiftLegends,IF(MATCH(Q14,Settings_ShiftLegends,0)+1&gt;COUNTA(Settings_ShiftLegends),1,MATCH(Q14,Settings_ShiftLegends,0)+1))))</f>
        <v/>
      </c>
      <c r="S14" s="82">
        <f>IF(OR($C14="",S$7=""),"",IF(R14="",Q14,INDEX(Settings_ShiftLegends,IF(MATCH(R14,Settings_ShiftLegends,0)+1&gt;COUNTA(Settings_ShiftLegends),1,MATCH(R14,Settings_ShiftLegends,0)+1))))</f>
        <v/>
      </c>
      <c r="T14" s="82">
        <f>IF(OR($C14="",T$7=""),"",IF(S14="",R14,INDEX(Settings_ShiftLegends,IF(MATCH(S14,Settings_ShiftLegends,0)+1&gt;COUNTA(Settings_ShiftLegends),1,MATCH(S14,Settings_ShiftLegends,0)+1))))</f>
        <v/>
      </c>
      <c r="U14" s="82">
        <f>IF(OR($C14="",U$7=""),"",IF(T14="",S14,INDEX(Settings_ShiftLegends,IF(MATCH(T14,Settings_ShiftLegends,0)+1&gt;COUNTA(Settings_ShiftLegends),1,MATCH(T14,Settings_ShiftLegends,0)+1))))</f>
        <v/>
      </c>
      <c r="V14" s="82">
        <f>IF(OR($C14="",V$7=""),"",IF(U14="",T14,INDEX(Settings_ShiftLegends,IF(MATCH(U14,Settings_ShiftLegends,0)+1&gt;COUNTA(Settings_ShiftLegends),1,MATCH(U14,Settings_ShiftLegends,0)+1))))</f>
        <v/>
      </c>
      <c r="W14" s="82">
        <f>IF(OR($C14="",W$7=""),"",IF(V14="",U14,INDEX(Settings_ShiftLegends,IF(MATCH(V14,Settings_ShiftLegends,0)+1&gt;COUNTA(Settings_ShiftLegends),1,MATCH(V14,Settings_ShiftLegends,0)+1))))</f>
        <v/>
      </c>
      <c r="X14" s="82">
        <f>IF(OR($C14="",X$7=""),"",IF(W14="",V14,INDEX(Settings_ShiftLegends,IF(MATCH(W14,Settings_ShiftLegends,0)+1&gt;COUNTA(Settings_ShiftLegends),1,MATCH(W14,Settings_ShiftLegends,0)+1))))</f>
        <v/>
      </c>
      <c r="Y14" s="82">
        <f>IF(OR($C14="",Y$7=""),"",IF(X14="",W14,INDEX(Settings_ShiftLegends,IF(MATCH(X14,Settings_ShiftLegends,0)+1&gt;COUNTA(Settings_ShiftLegends),1,MATCH(X14,Settings_ShiftLegends,0)+1))))</f>
        <v/>
      </c>
      <c r="Z14" s="82">
        <f>IF(OR($C14="",Z$7=""),"",IF(Y14="",X14,INDEX(Settings_ShiftLegends,IF(MATCH(Y14,Settings_ShiftLegends,0)+1&gt;COUNTA(Settings_ShiftLegends),1,MATCH(Y14,Settings_ShiftLegends,0)+1))))</f>
        <v/>
      </c>
      <c r="AA14" s="82">
        <f>IF(OR($C14="",AA$7=""),"",IF(Z14="",Y14,INDEX(Settings_ShiftLegends,IF(MATCH(Z14,Settings_ShiftLegends,0)+1&gt;COUNTA(Settings_ShiftLegends),1,MATCH(Z14,Settings_ShiftLegends,0)+1))))</f>
        <v/>
      </c>
      <c r="AB14" s="82">
        <f>IF(OR($C14="",AB$7=""),"",IF(AA14="",Z14,INDEX(Settings_ShiftLegends,IF(MATCH(AA14,Settings_ShiftLegends,0)+1&gt;COUNTA(Settings_ShiftLegends),1,MATCH(AA14,Settings_ShiftLegends,0)+1))))</f>
        <v/>
      </c>
      <c r="AC14" s="82">
        <f>IF(OR($C14="",AC$7=""),"",IF(AB14="",AA14,INDEX(Settings_ShiftLegends,IF(MATCH(AB14,Settings_ShiftLegends,0)+1&gt;COUNTA(Settings_ShiftLegends),1,MATCH(AB14,Settings_ShiftLegends,0)+1))))</f>
        <v/>
      </c>
      <c r="AD14" s="82">
        <f>IF(OR($C14="",AD$7=""),"",IF(AC14="",AB14,INDEX(Settings_ShiftLegends,IF(MATCH(AC14,Settings_ShiftLegends,0)+1&gt;COUNTA(Settings_ShiftLegends),1,MATCH(AC14,Settings_ShiftLegends,0)+1))))</f>
        <v/>
      </c>
      <c r="AE14" s="82">
        <f>IF(OR($C14="",AE$7=""),"",IF(AD14="",AC14,INDEX(Settings_ShiftLegends,IF(MATCH(AD14,Settings_ShiftLegends,0)+1&gt;COUNTA(Settings_ShiftLegends),1,MATCH(AD14,Settings_ShiftLegends,0)+1))))</f>
        <v/>
      </c>
      <c r="AF14" s="82">
        <f>IF(OR($C14="",AF$7=""),"",IF(AE14="",AD14,INDEX(Settings_ShiftLegends,IF(MATCH(AE14,Settings_ShiftLegends,0)+1&gt;COUNTA(Settings_ShiftLegends),1,MATCH(AE14,Settings_ShiftLegends,0)+1))))</f>
        <v/>
      </c>
      <c r="AG14" s="82">
        <f>IF(OR($C14="",AG$7=""),"",IF(AF14="",AE14,INDEX(Settings_ShiftLegends,IF(MATCH(AF14,Settings_ShiftLegends,0)+1&gt;COUNTA(Settings_ShiftLegends),1,MATCH(AF14,Settings_ShiftLegends,0)+1))))</f>
        <v/>
      </c>
      <c r="AH14" s="82">
        <f>IF(OR($C14="",AH$7=""),"",IF(AG14="",AF14,INDEX(Settings_ShiftLegends,IF(MATCH(AG14,Settings_ShiftLegends,0)+1&gt;COUNTA(Settings_ShiftLegends),1,MATCH(AG14,Settings_ShiftLegends,0)+1))))</f>
        <v/>
      </c>
      <c r="AI14" s="82">
        <f>IF(OR($C14="",AI$7=""),"",IF(AH14="",AG14,INDEX(Settings_ShiftLegends,IF(MATCH(AH14,Settings_ShiftLegends,0)+1&gt;COUNTA(Settings_ShiftLegends),1,MATCH(AH14,Settings_ShiftLegends,0)+1))))</f>
        <v/>
      </c>
      <c r="AK14" s="82">
        <f>COUNTIF($E14:$AI14,"M*")</f>
        <v/>
      </c>
      <c r="AL14" s="82">
        <f>COUNTIF($E14:$AI14,"A*")</f>
        <v/>
      </c>
      <c r="AM14" s="82">
        <f>COUNTIF($E14:$AI14,"N*")</f>
        <v/>
      </c>
      <c r="AN14" s="82">
        <f>COUNTIF($E14:$AI14,"O*")</f>
        <v/>
      </c>
    </row>
    <row r="15">
      <c r="B15" s="3" t="inlineStr">
        <is>
          <t>Employee -8</t>
        </is>
      </c>
      <c r="C15" s="3" t="inlineStr">
        <is>
          <t>O3</t>
        </is>
      </c>
      <c r="D15" s="11" t="n"/>
      <c r="E15" s="82">
        <f>IF(OR($C15="",E$7=""),"",IF(D15="",C15,INDEX(Settings_ShiftLegends,IF(MATCH(D15,Settings_ShiftLegends,0)+1&gt;COUNTA(Settings_ShiftLegends),1,MATCH(D15,Settings_ShiftLegends,0)+1))))</f>
        <v/>
      </c>
      <c r="F15" s="82">
        <f>IF(OR($C15="",F$7=""),"",IF(E15="",D15,INDEX(Settings_ShiftLegends,IF(MATCH(E15,Settings_ShiftLegends,0)+1&gt;COUNTA(Settings_ShiftLegends),1,MATCH(E15,Settings_ShiftLegends,0)+1))))</f>
        <v/>
      </c>
      <c r="G15" s="82">
        <f>IF(OR($C15="",G$7=""),"",IF(F15="",E15,INDEX(Settings_ShiftLegends,IF(MATCH(F15,Settings_ShiftLegends,0)+1&gt;COUNTA(Settings_ShiftLegends),1,MATCH(F15,Settings_ShiftLegends,0)+1))))</f>
        <v/>
      </c>
      <c r="H15" s="82">
        <f>IF(OR($C15="",H$7=""),"",IF(G15="",F15,INDEX(Settings_ShiftLegends,IF(MATCH(G15,Settings_ShiftLegends,0)+1&gt;COUNTA(Settings_ShiftLegends),1,MATCH(G15,Settings_ShiftLegends,0)+1))))</f>
        <v/>
      </c>
      <c r="I15" s="82">
        <f>IF(OR($C15="",I$7=""),"",IF(H15="",G15,INDEX(Settings_ShiftLegends,IF(MATCH(H15,Settings_ShiftLegends,0)+1&gt;COUNTA(Settings_ShiftLegends),1,MATCH(H15,Settings_ShiftLegends,0)+1))))</f>
        <v/>
      </c>
      <c r="J15" s="82">
        <f>IF(OR($C15="",J$7=""),"",IF(I15="",H15,INDEX(Settings_ShiftLegends,IF(MATCH(I15,Settings_ShiftLegends,0)+1&gt;COUNTA(Settings_ShiftLegends),1,MATCH(I15,Settings_ShiftLegends,0)+1))))</f>
        <v/>
      </c>
      <c r="K15" s="82">
        <f>IF(OR($C15="",K$7=""),"",IF(J15="",I15,INDEX(Settings_ShiftLegends,IF(MATCH(J15,Settings_ShiftLegends,0)+1&gt;COUNTA(Settings_ShiftLegends),1,MATCH(J15,Settings_ShiftLegends,0)+1))))</f>
        <v/>
      </c>
      <c r="L15" s="82">
        <f>IF(OR($C15="",L$7=""),"",IF(K15="",J15,INDEX(Settings_ShiftLegends,IF(MATCH(K15,Settings_ShiftLegends,0)+1&gt;COUNTA(Settings_ShiftLegends),1,MATCH(K15,Settings_ShiftLegends,0)+1))))</f>
        <v/>
      </c>
      <c r="M15" s="82">
        <f>IF(OR($C15="",M$7=""),"",IF(L15="",K15,INDEX(Settings_ShiftLegends,IF(MATCH(L15,Settings_ShiftLegends,0)+1&gt;COUNTA(Settings_ShiftLegends),1,MATCH(L15,Settings_ShiftLegends,0)+1))))</f>
        <v/>
      </c>
      <c r="N15" s="82">
        <f>IF(OR($C15="",N$7=""),"",IF(M15="",L15,INDEX(Settings_ShiftLegends,IF(MATCH(M15,Settings_ShiftLegends,0)+1&gt;COUNTA(Settings_ShiftLegends),1,MATCH(M15,Settings_ShiftLegends,0)+1))))</f>
        <v/>
      </c>
      <c r="O15" s="82">
        <f>IF(OR($C15="",O$7=""),"",IF(N15="",M15,INDEX(Settings_ShiftLegends,IF(MATCH(N15,Settings_ShiftLegends,0)+1&gt;COUNTA(Settings_ShiftLegends),1,MATCH(N15,Settings_ShiftLegends,0)+1))))</f>
        <v/>
      </c>
      <c r="P15" s="82">
        <f>IF(OR($C15="",P$7=""),"",IF(O15="",N15,INDEX(Settings_ShiftLegends,IF(MATCH(O15,Settings_ShiftLegends,0)+1&gt;COUNTA(Settings_ShiftLegends),1,MATCH(O15,Settings_ShiftLegends,0)+1))))</f>
        <v/>
      </c>
      <c r="Q15" s="82">
        <f>IF(OR($C15="",Q$7=""),"",IF(P15="",O15,INDEX(Settings_ShiftLegends,IF(MATCH(P15,Settings_ShiftLegends,0)+1&gt;COUNTA(Settings_ShiftLegends),1,MATCH(P15,Settings_ShiftLegends,0)+1))))</f>
        <v/>
      </c>
      <c r="R15" s="82">
        <f>IF(OR($C15="",R$7=""),"",IF(Q15="",P15,INDEX(Settings_ShiftLegends,IF(MATCH(Q15,Settings_ShiftLegends,0)+1&gt;COUNTA(Settings_ShiftLegends),1,MATCH(Q15,Settings_ShiftLegends,0)+1))))</f>
        <v/>
      </c>
      <c r="S15" s="82">
        <f>IF(OR($C15="",S$7=""),"",IF(R15="",Q15,INDEX(Settings_ShiftLegends,IF(MATCH(R15,Settings_ShiftLegends,0)+1&gt;COUNTA(Settings_ShiftLegends),1,MATCH(R15,Settings_ShiftLegends,0)+1))))</f>
        <v/>
      </c>
      <c r="T15" s="82">
        <f>IF(OR($C15="",T$7=""),"",IF(S15="",R15,INDEX(Settings_ShiftLegends,IF(MATCH(S15,Settings_ShiftLegends,0)+1&gt;COUNTA(Settings_ShiftLegends),1,MATCH(S15,Settings_ShiftLegends,0)+1))))</f>
        <v/>
      </c>
      <c r="U15" s="82">
        <f>IF(OR($C15="",U$7=""),"",IF(T15="",S15,INDEX(Settings_ShiftLegends,IF(MATCH(T15,Settings_ShiftLegends,0)+1&gt;COUNTA(Settings_ShiftLegends),1,MATCH(T15,Settings_ShiftLegends,0)+1))))</f>
        <v/>
      </c>
      <c r="V15" s="82">
        <f>IF(OR($C15="",V$7=""),"",IF(U15="",T15,INDEX(Settings_ShiftLegends,IF(MATCH(U15,Settings_ShiftLegends,0)+1&gt;COUNTA(Settings_ShiftLegends),1,MATCH(U15,Settings_ShiftLegends,0)+1))))</f>
        <v/>
      </c>
      <c r="W15" s="82">
        <f>IF(OR($C15="",W$7=""),"",IF(V15="",U15,INDEX(Settings_ShiftLegends,IF(MATCH(V15,Settings_ShiftLegends,0)+1&gt;COUNTA(Settings_ShiftLegends),1,MATCH(V15,Settings_ShiftLegends,0)+1))))</f>
        <v/>
      </c>
      <c r="X15" s="82">
        <f>IF(OR($C15="",X$7=""),"",IF(W15="",V15,INDEX(Settings_ShiftLegends,IF(MATCH(W15,Settings_ShiftLegends,0)+1&gt;COUNTA(Settings_ShiftLegends),1,MATCH(W15,Settings_ShiftLegends,0)+1))))</f>
        <v/>
      </c>
      <c r="Y15" s="82">
        <f>IF(OR($C15="",Y$7=""),"",IF(X15="",W15,INDEX(Settings_ShiftLegends,IF(MATCH(X15,Settings_ShiftLegends,0)+1&gt;COUNTA(Settings_ShiftLegends),1,MATCH(X15,Settings_ShiftLegends,0)+1))))</f>
        <v/>
      </c>
      <c r="Z15" s="82">
        <f>IF(OR($C15="",Z$7=""),"",IF(Y15="",X15,INDEX(Settings_ShiftLegends,IF(MATCH(Y15,Settings_ShiftLegends,0)+1&gt;COUNTA(Settings_ShiftLegends),1,MATCH(Y15,Settings_ShiftLegends,0)+1))))</f>
        <v/>
      </c>
      <c r="AA15" s="82">
        <f>IF(OR($C15="",AA$7=""),"",IF(Z15="",Y15,INDEX(Settings_ShiftLegends,IF(MATCH(Z15,Settings_ShiftLegends,0)+1&gt;COUNTA(Settings_ShiftLegends),1,MATCH(Z15,Settings_ShiftLegends,0)+1))))</f>
        <v/>
      </c>
      <c r="AB15" s="82">
        <f>IF(OR($C15="",AB$7=""),"",IF(AA15="",Z15,INDEX(Settings_ShiftLegends,IF(MATCH(AA15,Settings_ShiftLegends,0)+1&gt;COUNTA(Settings_ShiftLegends),1,MATCH(AA15,Settings_ShiftLegends,0)+1))))</f>
        <v/>
      </c>
      <c r="AC15" s="82">
        <f>IF(OR($C15="",AC$7=""),"",IF(AB15="",AA15,INDEX(Settings_ShiftLegends,IF(MATCH(AB15,Settings_ShiftLegends,0)+1&gt;COUNTA(Settings_ShiftLegends),1,MATCH(AB15,Settings_ShiftLegends,0)+1))))</f>
        <v/>
      </c>
      <c r="AD15" s="82">
        <f>IF(OR($C15="",AD$7=""),"",IF(AC15="",AB15,INDEX(Settings_ShiftLegends,IF(MATCH(AC15,Settings_ShiftLegends,0)+1&gt;COUNTA(Settings_ShiftLegends),1,MATCH(AC15,Settings_ShiftLegends,0)+1))))</f>
        <v/>
      </c>
      <c r="AE15" s="82">
        <f>IF(OR($C15="",AE$7=""),"",IF(AD15="",AC15,INDEX(Settings_ShiftLegends,IF(MATCH(AD15,Settings_ShiftLegends,0)+1&gt;COUNTA(Settings_ShiftLegends),1,MATCH(AD15,Settings_ShiftLegends,0)+1))))</f>
        <v/>
      </c>
      <c r="AF15" s="82">
        <f>IF(OR($C15="",AF$7=""),"",IF(AE15="",AD15,INDEX(Settings_ShiftLegends,IF(MATCH(AE15,Settings_ShiftLegends,0)+1&gt;COUNTA(Settings_ShiftLegends),1,MATCH(AE15,Settings_ShiftLegends,0)+1))))</f>
        <v/>
      </c>
      <c r="AG15" s="82">
        <f>IF(OR($C15="",AG$7=""),"",IF(AF15="",AE15,INDEX(Settings_ShiftLegends,IF(MATCH(AF15,Settings_ShiftLegends,0)+1&gt;COUNTA(Settings_ShiftLegends),1,MATCH(AF15,Settings_ShiftLegends,0)+1))))</f>
        <v/>
      </c>
      <c r="AH15" s="82">
        <f>IF(OR($C15="",AH$7=""),"",IF(AG15="",AF15,INDEX(Settings_ShiftLegends,IF(MATCH(AG15,Settings_ShiftLegends,0)+1&gt;COUNTA(Settings_ShiftLegends),1,MATCH(AG15,Settings_ShiftLegends,0)+1))))</f>
        <v/>
      </c>
      <c r="AI15" s="82">
        <f>IF(OR($C15="",AI$7=""),"",IF(AH15="",AG15,INDEX(Settings_ShiftLegends,IF(MATCH(AH15,Settings_ShiftLegends,0)+1&gt;COUNTA(Settings_ShiftLegends),1,MATCH(AH15,Settings_ShiftLegends,0)+1))))</f>
        <v/>
      </c>
      <c r="AK15" s="82">
        <f>COUNTIF($E15:$AI15,"M*")</f>
        <v/>
      </c>
      <c r="AL15" s="82">
        <f>COUNTIF($E15:$AI15,"A*")</f>
        <v/>
      </c>
      <c r="AM15" s="82">
        <f>COUNTIF($E15:$AI15,"N*")</f>
        <v/>
      </c>
      <c r="AN15" s="82">
        <f>COUNTIF($E15:$AI15,"O*")</f>
        <v/>
      </c>
    </row>
    <row r="16">
      <c r="B16" s="3" t="inlineStr">
        <is>
          <t>Employee -9</t>
        </is>
      </c>
      <c r="C16" s="3" t="inlineStr">
        <is>
          <t>M1</t>
        </is>
      </c>
      <c r="D16" s="11" t="n"/>
      <c r="E16" s="82">
        <f>IF(OR($C16="",E$7=""),"",IF(D16="",C16,INDEX(Settings_ShiftLegends,IF(MATCH(D16,Settings_ShiftLegends,0)+1&gt;COUNTA(Settings_ShiftLegends),1,MATCH(D16,Settings_ShiftLegends,0)+1))))</f>
        <v/>
      </c>
      <c r="F16" s="82">
        <f>IF(OR($C16="",F$7=""),"",IF(E16="",D16,INDEX(Settings_ShiftLegends,IF(MATCH(E16,Settings_ShiftLegends,0)+1&gt;COUNTA(Settings_ShiftLegends),1,MATCH(E16,Settings_ShiftLegends,0)+1))))</f>
        <v/>
      </c>
      <c r="G16" s="82">
        <f>IF(OR($C16="",G$7=""),"",IF(F16="",E16,INDEX(Settings_ShiftLegends,IF(MATCH(F16,Settings_ShiftLegends,0)+1&gt;COUNTA(Settings_ShiftLegends),1,MATCH(F16,Settings_ShiftLegends,0)+1))))</f>
        <v/>
      </c>
      <c r="H16" s="82">
        <f>IF(OR($C16="",H$7=""),"",IF(G16="",F16,INDEX(Settings_ShiftLegends,IF(MATCH(G16,Settings_ShiftLegends,0)+1&gt;COUNTA(Settings_ShiftLegends),1,MATCH(G16,Settings_ShiftLegends,0)+1))))</f>
        <v/>
      </c>
      <c r="I16" s="82">
        <f>IF(OR($C16="",I$7=""),"",IF(H16="",G16,INDEX(Settings_ShiftLegends,IF(MATCH(H16,Settings_ShiftLegends,0)+1&gt;COUNTA(Settings_ShiftLegends),1,MATCH(H16,Settings_ShiftLegends,0)+1))))</f>
        <v/>
      </c>
      <c r="J16" s="82">
        <f>IF(OR($C16="",J$7=""),"",IF(I16="",H16,INDEX(Settings_ShiftLegends,IF(MATCH(I16,Settings_ShiftLegends,0)+1&gt;COUNTA(Settings_ShiftLegends),1,MATCH(I16,Settings_ShiftLegends,0)+1))))</f>
        <v/>
      </c>
      <c r="K16" s="82">
        <f>IF(OR($C16="",K$7=""),"",IF(J16="",I16,INDEX(Settings_ShiftLegends,IF(MATCH(J16,Settings_ShiftLegends,0)+1&gt;COUNTA(Settings_ShiftLegends),1,MATCH(J16,Settings_ShiftLegends,0)+1))))</f>
        <v/>
      </c>
      <c r="L16" s="82">
        <f>IF(OR($C16="",L$7=""),"",IF(K16="",J16,INDEX(Settings_ShiftLegends,IF(MATCH(K16,Settings_ShiftLegends,0)+1&gt;COUNTA(Settings_ShiftLegends),1,MATCH(K16,Settings_ShiftLegends,0)+1))))</f>
        <v/>
      </c>
      <c r="M16" s="82">
        <f>IF(OR($C16="",M$7=""),"",IF(L16="",K16,INDEX(Settings_ShiftLegends,IF(MATCH(L16,Settings_ShiftLegends,0)+1&gt;COUNTA(Settings_ShiftLegends),1,MATCH(L16,Settings_ShiftLegends,0)+1))))</f>
        <v/>
      </c>
      <c r="N16" s="82">
        <f>IF(OR($C16="",N$7=""),"",IF(M16="",L16,INDEX(Settings_ShiftLegends,IF(MATCH(M16,Settings_ShiftLegends,0)+1&gt;COUNTA(Settings_ShiftLegends),1,MATCH(M16,Settings_ShiftLegends,0)+1))))</f>
        <v/>
      </c>
      <c r="O16" s="82">
        <f>IF(OR($C16="",O$7=""),"",IF(N16="",M16,INDEX(Settings_ShiftLegends,IF(MATCH(N16,Settings_ShiftLegends,0)+1&gt;COUNTA(Settings_ShiftLegends),1,MATCH(N16,Settings_ShiftLegends,0)+1))))</f>
        <v/>
      </c>
      <c r="P16" s="82">
        <f>IF(OR($C16="",P$7=""),"",IF(O16="",N16,INDEX(Settings_ShiftLegends,IF(MATCH(O16,Settings_ShiftLegends,0)+1&gt;COUNTA(Settings_ShiftLegends),1,MATCH(O16,Settings_ShiftLegends,0)+1))))</f>
        <v/>
      </c>
      <c r="Q16" s="82">
        <f>IF(OR($C16="",Q$7=""),"",IF(P16="",O16,INDEX(Settings_ShiftLegends,IF(MATCH(P16,Settings_ShiftLegends,0)+1&gt;COUNTA(Settings_ShiftLegends),1,MATCH(P16,Settings_ShiftLegends,0)+1))))</f>
        <v/>
      </c>
      <c r="R16" s="82">
        <f>IF(OR($C16="",R$7=""),"",IF(Q16="",P16,INDEX(Settings_ShiftLegends,IF(MATCH(Q16,Settings_ShiftLegends,0)+1&gt;COUNTA(Settings_ShiftLegends),1,MATCH(Q16,Settings_ShiftLegends,0)+1))))</f>
        <v/>
      </c>
      <c r="S16" s="82">
        <f>IF(OR($C16="",S$7=""),"",IF(R16="",Q16,INDEX(Settings_ShiftLegends,IF(MATCH(R16,Settings_ShiftLegends,0)+1&gt;COUNTA(Settings_ShiftLegends),1,MATCH(R16,Settings_ShiftLegends,0)+1))))</f>
        <v/>
      </c>
      <c r="T16" s="82">
        <f>IF(OR($C16="",T$7=""),"",IF(S16="",R16,INDEX(Settings_ShiftLegends,IF(MATCH(S16,Settings_ShiftLegends,0)+1&gt;COUNTA(Settings_ShiftLegends),1,MATCH(S16,Settings_ShiftLegends,0)+1))))</f>
        <v/>
      </c>
      <c r="U16" s="82">
        <f>IF(OR($C16="",U$7=""),"",IF(T16="",S16,INDEX(Settings_ShiftLegends,IF(MATCH(T16,Settings_ShiftLegends,0)+1&gt;COUNTA(Settings_ShiftLegends),1,MATCH(T16,Settings_ShiftLegends,0)+1))))</f>
        <v/>
      </c>
      <c r="V16" s="82">
        <f>IF(OR($C16="",V$7=""),"",IF(U16="",T16,INDEX(Settings_ShiftLegends,IF(MATCH(U16,Settings_ShiftLegends,0)+1&gt;COUNTA(Settings_ShiftLegends),1,MATCH(U16,Settings_ShiftLegends,0)+1))))</f>
        <v/>
      </c>
      <c r="W16" s="82">
        <f>IF(OR($C16="",W$7=""),"",IF(V16="",U16,INDEX(Settings_ShiftLegends,IF(MATCH(V16,Settings_ShiftLegends,0)+1&gt;COUNTA(Settings_ShiftLegends),1,MATCH(V16,Settings_ShiftLegends,0)+1))))</f>
        <v/>
      </c>
      <c r="X16" s="82">
        <f>IF(OR($C16="",X$7=""),"",IF(W16="",V16,INDEX(Settings_ShiftLegends,IF(MATCH(W16,Settings_ShiftLegends,0)+1&gt;COUNTA(Settings_ShiftLegends),1,MATCH(W16,Settings_ShiftLegends,0)+1))))</f>
        <v/>
      </c>
      <c r="Y16" s="82">
        <f>IF(OR($C16="",Y$7=""),"",IF(X16="",W16,INDEX(Settings_ShiftLegends,IF(MATCH(X16,Settings_ShiftLegends,0)+1&gt;COUNTA(Settings_ShiftLegends),1,MATCH(X16,Settings_ShiftLegends,0)+1))))</f>
        <v/>
      </c>
      <c r="Z16" s="82">
        <f>IF(OR($C16="",Z$7=""),"",IF(Y16="",X16,INDEX(Settings_ShiftLegends,IF(MATCH(Y16,Settings_ShiftLegends,0)+1&gt;COUNTA(Settings_ShiftLegends),1,MATCH(Y16,Settings_ShiftLegends,0)+1))))</f>
        <v/>
      </c>
      <c r="AA16" s="82">
        <f>IF(OR($C16="",AA$7=""),"",IF(Z16="",Y16,INDEX(Settings_ShiftLegends,IF(MATCH(Z16,Settings_ShiftLegends,0)+1&gt;COUNTA(Settings_ShiftLegends),1,MATCH(Z16,Settings_ShiftLegends,0)+1))))</f>
        <v/>
      </c>
      <c r="AB16" s="82">
        <f>IF(OR($C16="",AB$7=""),"",IF(AA16="",Z16,INDEX(Settings_ShiftLegends,IF(MATCH(AA16,Settings_ShiftLegends,0)+1&gt;COUNTA(Settings_ShiftLegends),1,MATCH(AA16,Settings_ShiftLegends,0)+1))))</f>
        <v/>
      </c>
      <c r="AC16" s="82">
        <f>IF(OR($C16="",AC$7=""),"",IF(AB16="",AA16,INDEX(Settings_ShiftLegends,IF(MATCH(AB16,Settings_ShiftLegends,0)+1&gt;COUNTA(Settings_ShiftLegends),1,MATCH(AB16,Settings_ShiftLegends,0)+1))))</f>
        <v/>
      </c>
      <c r="AD16" s="82">
        <f>IF(OR($C16="",AD$7=""),"",IF(AC16="",AB16,INDEX(Settings_ShiftLegends,IF(MATCH(AC16,Settings_ShiftLegends,0)+1&gt;COUNTA(Settings_ShiftLegends),1,MATCH(AC16,Settings_ShiftLegends,0)+1))))</f>
        <v/>
      </c>
      <c r="AE16" s="82">
        <f>IF(OR($C16="",AE$7=""),"",IF(AD16="",AC16,INDEX(Settings_ShiftLegends,IF(MATCH(AD16,Settings_ShiftLegends,0)+1&gt;COUNTA(Settings_ShiftLegends),1,MATCH(AD16,Settings_ShiftLegends,0)+1))))</f>
        <v/>
      </c>
      <c r="AF16" s="82">
        <f>IF(OR($C16="",AF$7=""),"",IF(AE16="",AD16,INDEX(Settings_ShiftLegends,IF(MATCH(AE16,Settings_ShiftLegends,0)+1&gt;COUNTA(Settings_ShiftLegends),1,MATCH(AE16,Settings_ShiftLegends,0)+1))))</f>
        <v/>
      </c>
      <c r="AG16" s="82">
        <f>IF(OR($C16="",AG$7=""),"",IF(AF16="",AE16,INDEX(Settings_ShiftLegends,IF(MATCH(AF16,Settings_ShiftLegends,0)+1&gt;COUNTA(Settings_ShiftLegends),1,MATCH(AF16,Settings_ShiftLegends,0)+1))))</f>
        <v/>
      </c>
      <c r="AH16" s="82">
        <f>IF(OR($C16="",AH$7=""),"",IF(AG16="",AF16,INDEX(Settings_ShiftLegends,IF(MATCH(AG16,Settings_ShiftLegends,0)+1&gt;COUNTA(Settings_ShiftLegends),1,MATCH(AG16,Settings_ShiftLegends,0)+1))))</f>
        <v/>
      </c>
      <c r="AI16" s="82">
        <f>IF(OR($C16="",AI$7=""),"",IF(AH16="",AG16,INDEX(Settings_ShiftLegends,IF(MATCH(AH16,Settings_ShiftLegends,0)+1&gt;COUNTA(Settings_ShiftLegends),1,MATCH(AH16,Settings_ShiftLegends,0)+1))))</f>
        <v/>
      </c>
      <c r="AK16" s="82">
        <f>COUNTIF($E16:$AI16,"M*")</f>
        <v/>
      </c>
      <c r="AL16" s="82">
        <f>COUNTIF($E16:$AI16,"A*")</f>
        <v/>
      </c>
      <c r="AM16" s="82">
        <f>COUNTIF($E16:$AI16,"N*")</f>
        <v/>
      </c>
      <c r="AN16" s="82">
        <f>COUNTIF($E16:$AI16,"O*")</f>
        <v/>
      </c>
    </row>
    <row r="17">
      <c r="B17" s="3" t="inlineStr">
        <is>
          <t>Employee -10</t>
        </is>
      </c>
      <c r="C17" s="3" t="inlineStr">
        <is>
          <t>M2</t>
        </is>
      </c>
      <c r="D17" s="12" t="n"/>
      <c r="E17" s="82">
        <f>IF(OR($C17="",E$7=""),"",IF(D17="",C17,INDEX(Settings_ShiftLegends,IF(MATCH(D17,Settings_ShiftLegends,0)+1&gt;COUNTA(Settings_ShiftLegends),1,MATCH(D17,Settings_ShiftLegends,0)+1))))</f>
        <v/>
      </c>
      <c r="F17" s="82">
        <f>IF(OR($C17="",F$7=""),"",IF(E17="",D17,INDEX(Settings_ShiftLegends,IF(MATCH(E17,Settings_ShiftLegends,0)+1&gt;COUNTA(Settings_ShiftLegends),1,MATCH(E17,Settings_ShiftLegends,0)+1))))</f>
        <v/>
      </c>
      <c r="G17" s="82">
        <f>IF(OR($C17="",G$7=""),"",IF(F17="",E17,INDEX(Settings_ShiftLegends,IF(MATCH(F17,Settings_ShiftLegends,0)+1&gt;COUNTA(Settings_ShiftLegends),1,MATCH(F17,Settings_ShiftLegends,0)+1))))</f>
        <v/>
      </c>
      <c r="H17" s="82">
        <f>IF(OR($C17="",H$7=""),"",IF(G17="",F17,INDEX(Settings_ShiftLegends,IF(MATCH(G17,Settings_ShiftLegends,0)+1&gt;COUNTA(Settings_ShiftLegends),1,MATCH(G17,Settings_ShiftLegends,0)+1))))</f>
        <v/>
      </c>
      <c r="I17" s="82">
        <f>IF(OR($C17="",I$7=""),"",IF(H17="",G17,INDEX(Settings_ShiftLegends,IF(MATCH(H17,Settings_ShiftLegends,0)+1&gt;COUNTA(Settings_ShiftLegends),1,MATCH(H17,Settings_ShiftLegends,0)+1))))</f>
        <v/>
      </c>
      <c r="J17" s="82">
        <f>IF(OR($C17="",J$7=""),"",IF(I17="",H17,INDEX(Settings_ShiftLegends,IF(MATCH(I17,Settings_ShiftLegends,0)+1&gt;COUNTA(Settings_ShiftLegends),1,MATCH(I17,Settings_ShiftLegends,0)+1))))</f>
        <v/>
      </c>
      <c r="K17" s="82">
        <f>IF(OR($C17="",K$7=""),"",IF(J17="",I17,INDEX(Settings_ShiftLegends,IF(MATCH(J17,Settings_ShiftLegends,0)+1&gt;COUNTA(Settings_ShiftLegends),1,MATCH(J17,Settings_ShiftLegends,0)+1))))</f>
        <v/>
      </c>
      <c r="L17" s="82">
        <f>IF(OR($C17="",L$7=""),"",IF(K17="",J17,INDEX(Settings_ShiftLegends,IF(MATCH(K17,Settings_ShiftLegends,0)+1&gt;COUNTA(Settings_ShiftLegends),1,MATCH(K17,Settings_ShiftLegends,0)+1))))</f>
        <v/>
      </c>
      <c r="M17" s="82">
        <f>IF(OR($C17="",M$7=""),"",IF(L17="",K17,INDEX(Settings_ShiftLegends,IF(MATCH(L17,Settings_ShiftLegends,0)+1&gt;COUNTA(Settings_ShiftLegends),1,MATCH(L17,Settings_ShiftLegends,0)+1))))</f>
        <v/>
      </c>
      <c r="N17" s="82">
        <f>IF(OR($C17="",N$7=""),"",IF(M17="",L17,INDEX(Settings_ShiftLegends,IF(MATCH(M17,Settings_ShiftLegends,0)+1&gt;COUNTA(Settings_ShiftLegends),1,MATCH(M17,Settings_ShiftLegends,0)+1))))</f>
        <v/>
      </c>
      <c r="O17" s="82">
        <f>IF(OR($C17="",O$7=""),"",IF(N17="",M17,INDEX(Settings_ShiftLegends,IF(MATCH(N17,Settings_ShiftLegends,0)+1&gt;COUNTA(Settings_ShiftLegends),1,MATCH(N17,Settings_ShiftLegends,0)+1))))</f>
        <v/>
      </c>
      <c r="P17" s="82">
        <f>IF(OR($C17="",P$7=""),"",IF(O17="",N17,INDEX(Settings_ShiftLegends,IF(MATCH(O17,Settings_ShiftLegends,0)+1&gt;COUNTA(Settings_ShiftLegends),1,MATCH(O17,Settings_ShiftLegends,0)+1))))</f>
        <v/>
      </c>
      <c r="Q17" s="82">
        <f>IF(OR($C17="",Q$7=""),"",IF(P17="",O17,INDEX(Settings_ShiftLegends,IF(MATCH(P17,Settings_ShiftLegends,0)+1&gt;COUNTA(Settings_ShiftLegends),1,MATCH(P17,Settings_ShiftLegends,0)+1))))</f>
        <v/>
      </c>
      <c r="R17" s="82">
        <f>IF(OR($C17="",R$7=""),"",IF(Q17="",P17,INDEX(Settings_ShiftLegends,IF(MATCH(Q17,Settings_ShiftLegends,0)+1&gt;COUNTA(Settings_ShiftLegends),1,MATCH(Q17,Settings_ShiftLegends,0)+1))))</f>
        <v/>
      </c>
      <c r="S17" s="82">
        <f>IF(OR($C17="",S$7=""),"",IF(R17="",Q17,INDEX(Settings_ShiftLegends,IF(MATCH(R17,Settings_ShiftLegends,0)+1&gt;COUNTA(Settings_ShiftLegends),1,MATCH(R17,Settings_ShiftLegends,0)+1))))</f>
        <v/>
      </c>
      <c r="T17" s="82">
        <f>IF(OR($C17="",T$7=""),"",IF(S17="",R17,INDEX(Settings_ShiftLegends,IF(MATCH(S17,Settings_ShiftLegends,0)+1&gt;COUNTA(Settings_ShiftLegends),1,MATCH(S17,Settings_ShiftLegends,0)+1))))</f>
        <v/>
      </c>
      <c r="U17" s="82">
        <f>IF(OR($C17="",U$7=""),"",IF(T17="",S17,INDEX(Settings_ShiftLegends,IF(MATCH(T17,Settings_ShiftLegends,0)+1&gt;COUNTA(Settings_ShiftLegends),1,MATCH(T17,Settings_ShiftLegends,0)+1))))</f>
        <v/>
      </c>
      <c r="V17" s="82">
        <f>IF(OR($C17="",V$7=""),"",IF(U17="",T17,INDEX(Settings_ShiftLegends,IF(MATCH(U17,Settings_ShiftLegends,0)+1&gt;COUNTA(Settings_ShiftLegends),1,MATCH(U17,Settings_ShiftLegends,0)+1))))</f>
        <v/>
      </c>
      <c r="W17" s="82">
        <f>IF(OR($C17="",W$7=""),"",IF(V17="",U17,INDEX(Settings_ShiftLegends,IF(MATCH(V17,Settings_ShiftLegends,0)+1&gt;COUNTA(Settings_ShiftLegends),1,MATCH(V17,Settings_ShiftLegends,0)+1))))</f>
        <v/>
      </c>
      <c r="X17" s="82">
        <f>IF(OR($C17="",X$7=""),"",IF(W17="",V17,INDEX(Settings_ShiftLegends,IF(MATCH(W17,Settings_ShiftLegends,0)+1&gt;COUNTA(Settings_ShiftLegends),1,MATCH(W17,Settings_ShiftLegends,0)+1))))</f>
        <v/>
      </c>
      <c r="Y17" s="82">
        <f>IF(OR($C17="",Y$7=""),"",IF(X17="",W17,INDEX(Settings_ShiftLegends,IF(MATCH(X17,Settings_ShiftLegends,0)+1&gt;COUNTA(Settings_ShiftLegends),1,MATCH(X17,Settings_ShiftLegends,0)+1))))</f>
        <v/>
      </c>
      <c r="Z17" s="82">
        <f>IF(OR($C17="",Z$7=""),"",IF(Y17="",X17,INDEX(Settings_ShiftLegends,IF(MATCH(Y17,Settings_ShiftLegends,0)+1&gt;COUNTA(Settings_ShiftLegends),1,MATCH(Y17,Settings_ShiftLegends,0)+1))))</f>
        <v/>
      </c>
      <c r="AA17" s="82">
        <f>IF(OR($C17="",AA$7=""),"",IF(Z17="",Y17,INDEX(Settings_ShiftLegends,IF(MATCH(Z17,Settings_ShiftLegends,0)+1&gt;COUNTA(Settings_ShiftLegends),1,MATCH(Z17,Settings_ShiftLegends,0)+1))))</f>
        <v/>
      </c>
      <c r="AB17" s="82">
        <f>IF(OR($C17="",AB$7=""),"",IF(AA17="",Z17,INDEX(Settings_ShiftLegends,IF(MATCH(AA17,Settings_ShiftLegends,0)+1&gt;COUNTA(Settings_ShiftLegends),1,MATCH(AA17,Settings_ShiftLegends,0)+1))))</f>
        <v/>
      </c>
      <c r="AC17" s="82">
        <f>IF(OR($C17="",AC$7=""),"",IF(AB17="",AA17,INDEX(Settings_ShiftLegends,IF(MATCH(AB17,Settings_ShiftLegends,0)+1&gt;COUNTA(Settings_ShiftLegends),1,MATCH(AB17,Settings_ShiftLegends,0)+1))))</f>
        <v/>
      </c>
      <c r="AD17" s="82">
        <f>IF(OR($C17="",AD$7=""),"",IF(AC17="",AB17,INDEX(Settings_ShiftLegends,IF(MATCH(AC17,Settings_ShiftLegends,0)+1&gt;COUNTA(Settings_ShiftLegends),1,MATCH(AC17,Settings_ShiftLegends,0)+1))))</f>
        <v/>
      </c>
      <c r="AE17" s="82">
        <f>IF(OR($C17="",AE$7=""),"",IF(AD17="",AC17,INDEX(Settings_ShiftLegends,IF(MATCH(AD17,Settings_ShiftLegends,0)+1&gt;COUNTA(Settings_ShiftLegends),1,MATCH(AD17,Settings_ShiftLegends,0)+1))))</f>
        <v/>
      </c>
      <c r="AF17" s="82">
        <f>IF(OR($C17="",AF$7=""),"",IF(AE17="",AD17,INDEX(Settings_ShiftLegends,IF(MATCH(AE17,Settings_ShiftLegends,0)+1&gt;COUNTA(Settings_ShiftLegends),1,MATCH(AE17,Settings_ShiftLegends,0)+1))))</f>
        <v/>
      </c>
      <c r="AG17" s="82">
        <f>IF(OR($C17="",AG$7=""),"",IF(AF17="",AE17,INDEX(Settings_ShiftLegends,IF(MATCH(AF17,Settings_ShiftLegends,0)+1&gt;COUNTA(Settings_ShiftLegends),1,MATCH(AF17,Settings_ShiftLegends,0)+1))))</f>
        <v/>
      </c>
      <c r="AH17" s="82">
        <f>IF(OR($C17="",AH$7=""),"",IF(AG17="",AF17,INDEX(Settings_ShiftLegends,IF(MATCH(AG17,Settings_ShiftLegends,0)+1&gt;COUNTA(Settings_ShiftLegends),1,MATCH(AG17,Settings_ShiftLegends,0)+1))))</f>
        <v/>
      </c>
      <c r="AI17" s="82">
        <f>IF(OR($C17="",AI$7=""),"",IF(AH17="",AG17,INDEX(Settings_ShiftLegends,IF(MATCH(AH17,Settings_ShiftLegends,0)+1&gt;COUNTA(Settings_ShiftLegends),1,MATCH(AH17,Settings_ShiftLegends,0)+1))))</f>
        <v/>
      </c>
      <c r="AK17" s="82">
        <f>COUNTIF($E17:$AI17,"M*")</f>
        <v/>
      </c>
      <c r="AL17" s="82">
        <f>COUNTIF($E17:$AI17,"A*")</f>
        <v/>
      </c>
      <c r="AM17" s="82">
        <f>COUNTIF($E17:$AI17,"N*")</f>
        <v/>
      </c>
      <c r="AN17" s="82">
        <f>COUNTIF($E17:$AI17,"O*")</f>
        <v/>
      </c>
    </row>
    <row r="18">
      <c r="B18" s="3" t="inlineStr">
        <is>
          <t>Employee -11</t>
        </is>
      </c>
      <c r="C18" s="3" t="inlineStr">
        <is>
          <t>A1</t>
        </is>
      </c>
      <c r="E18" s="82">
        <f>IF(OR($C18="",E$7=""),"",IF(D18="",C18,INDEX(Settings_ShiftLegends,IF(MATCH(D18,Settings_ShiftLegends,0)+1&gt;COUNTA(Settings_ShiftLegends),1,MATCH(D18,Settings_ShiftLegends,0)+1))))</f>
        <v/>
      </c>
      <c r="F18" s="82">
        <f>IF(OR($C18="",F$7=""),"",IF(E18="",D18,INDEX(Settings_ShiftLegends,IF(MATCH(E18,Settings_ShiftLegends,0)+1&gt;COUNTA(Settings_ShiftLegends),1,MATCH(E18,Settings_ShiftLegends,0)+1))))</f>
        <v/>
      </c>
      <c r="G18" s="82">
        <f>IF(OR($C18="",G$7=""),"",IF(F18="",E18,INDEX(Settings_ShiftLegends,IF(MATCH(F18,Settings_ShiftLegends,0)+1&gt;COUNTA(Settings_ShiftLegends),1,MATCH(F18,Settings_ShiftLegends,0)+1))))</f>
        <v/>
      </c>
      <c r="H18" s="82">
        <f>IF(OR($C18="",H$7=""),"",IF(G18="",F18,INDEX(Settings_ShiftLegends,IF(MATCH(G18,Settings_ShiftLegends,0)+1&gt;COUNTA(Settings_ShiftLegends),1,MATCH(G18,Settings_ShiftLegends,0)+1))))</f>
        <v/>
      </c>
      <c r="I18" s="82">
        <f>IF(OR($C18="",I$7=""),"",IF(H18="",G18,INDEX(Settings_ShiftLegends,IF(MATCH(H18,Settings_ShiftLegends,0)+1&gt;COUNTA(Settings_ShiftLegends),1,MATCH(H18,Settings_ShiftLegends,0)+1))))</f>
        <v/>
      </c>
      <c r="J18" s="82">
        <f>IF(OR($C18="",J$7=""),"",IF(I18="",H18,INDEX(Settings_ShiftLegends,IF(MATCH(I18,Settings_ShiftLegends,0)+1&gt;COUNTA(Settings_ShiftLegends),1,MATCH(I18,Settings_ShiftLegends,0)+1))))</f>
        <v/>
      </c>
      <c r="K18" s="82">
        <f>IF(OR($C18="",K$7=""),"",IF(J18="",I18,INDEX(Settings_ShiftLegends,IF(MATCH(J18,Settings_ShiftLegends,0)+1&gt;COUNTA(Settings_ShiftLegends),1,MATCH(J18,Settings_ShiftLegends,0)+1))))</f>
        <v/>
      </c>
      <c r="L18" s="82">
        <f>IF(OR($C18="",L$7=""),"",IF(K18="",J18,INDEX(Settings_ShiftLegends,IF(MATCH(K18,Settings_ShiftLegends,0)+1&gt;COUNTA(Settings_ShiftLegends),1,MATCH(K18,Settings_ShiftLegends,0)+1))))</f>
        <v/>
      </c>
      <c r="M18" s="82">
        <f>IF(OR($C18="",M$7=""),"",IF(L18="",K18,INDEX(Settings_ShiftLegends,IF(MATCH(L18,Settings_ShiftLegends,0)+1&gt;COUNTA(Settings_ShiftLegends),1,MATCH(L18,Settings_ShiftLegends,0)+1))))</f>
        <v/>
      </c>
      <c r="N18" s="82">
        <f>IF(OR($C18="",N$7=""),"",IF(M18="",L18,INDEX(Settings_ShiftLegends,IF(MATCH(M18,Settings_ShiftLegends,0)+1&gt;COUNTA(Settings_ShiftLegends),1,MATCH(M18,Settings_ShiftLegends,0)+1))))</f>
        <v/>
      </c>
      <c r="O18" s="82">
        <f>IF(OR($C18="",O$7=""),"",IF(N18="",M18,INDEX(Settings_ShiftLegends,IF(MATCH(N18,Settings_ShiftLegends,0)+1&gt;COUNTA(Settings_ShiftLegends),1,MATCH(N18,Settings_ShiftLegends,0)+1))))</f>
        <v/>
      </c>
      <c r="P18" s="82">
        <f>IF(OR($C18="",P$7=""),"",IF(O18="",N18,INDEX(Settings_ShiftLegends,IF(MATCH(O18,Settings_ShiftLegends,0)+1&gt;COUNTA(Settings_ShiftLegends),1,MATCH(O18,Settings_ShiftLegends,0)+1))))</f>
        <v/>
      </c>
      <c r="Q18" s="82">
        <f>IF(OR($C18="",Q$7=""),"",IF(P18="",O18,INDEX(Settings_ShiftLegends,IF(MATCH(P18,Settings_ShiftLegends,0)+1&gt;COUNTA(Settings_ShiftLegends),1,MATCH(P18,Settings_ShiftLegends,0)+1))))</f>
        <v/>
      </c>
      <c r="R18" s="82">
        <f>IF(OR($C18="",R$7=""),"",IF(Q18="",P18,INDEX(Settings_ShiftLegends,IF(MATCH(Q18,Settings_ShiftLegends,0)+1&gt;COUNTA(Settings_ShiftLegends),1,MATCH(Q18,Settings_ShiftLegends,0)+1))))</f>
        <v/>
      </c>
      <c r="S18" s="82">
        <f>IF(OR($C18="",S$7=""),"",IF(R18="",Q18,INDEX(Settings_ShiftLegends,IF(MATCH(R18,Settings_ShiftLegends,0)+1&gt;COUNTA(Settings_ShiftLegends),1,MATCH(R18,Settings_ShiftLegends,0)+1))))</f>
        <v/>
      </c>
      <c r="T18" s="82">
        <f>IF(OR($C18="",T$7=""),"",IF(S18="",R18,INDEX(Settings_ShiftLegends,IF(MATCH(S18,Settings_ShiftLegends,0)+1&gt;COUNTA(Settings_ShiftLegends),1,MATCH(S18,Settings_ShiftLegends,0)+1))))</f>
        <v/>
      </c>
      <c r="U18" s="82">
        <f>IF(OR($C18="",U$7=""),"",IF(T18="",S18,INDEX(Settings_ShiftLegends,IF(MATCH(T18,Settings_ShiftLegends,0)+1&gt;COUNTA(Settings_ShiftLegends),1,MATCH(T18,Settings_ShiftLegends,0)+1))))</f>
        <v/>
      </c>
      <c r="V18" s="82">
        <f>IF(OR($C18="",V$7=""),"",IF(U18="",T18,INDEX(Settings_ShiftLegends,IF(MATCH(U18,Settings_ShiftLegends,0)+1&gt;COUNTA(Settings_ShiftLegends),1,MATCH(U18,Settings_ShiftLegends,0)+1))))</f>
        <v/>
      </c>
      <c r="W18" s="82">
        <f>IF(OR($C18="",W$7=""),"",IF(V18="",U18,INDEX(Settings_ShiftLegends,IF(MATCH(V18,Settings_ShiftLegends,0)+1&gt;COUNTA(Settings_ShiftLegends),1,MATCH(V18,Settings_ShiftLegends,0)+1))))</f>
        <v/>
      </c>
      <c r="X18" s="82">
        <f>IF(OR($C18="",X$7=""),"",IF(W18="",V18,INDEX(Settings_ShiftLegends,IF(MATCH(W18,Settings_ShiftLegends,0)+1&gt;COUNTA(Settings_ShiftLegends),1,MATCH(W18,Settings_ShiftLegends,0)+1))))</f>
        <v/>
      </c>
      <c r="Y18" s="82">
        <f>IF(OR($C18="",Y$7=""),"",IF(X18="",W18,INDEX(Settings_ShiftLegends,IF(MATCH(X18,Settings_ShiftLegends,0)+1&gt;COUNTA(Settings_ShiftLegends),1,MATCH(X18,Settings_ShiftLegends,0)+1))))</f>
        <v/>
      </c>
      <c r="Z18" s="82">
        <f>IF(OR($C18="",Z$7=""),"",IF(Y18="",X18,INDEX(Settings_ShiftLegends,IF(MATCH(Y18,Settings_ShiftLegends,0)+1&gt;COUNTA(Settings_ShiftLegends),1,MATCH(Y18,Settings_ShiftLegends,0)+1))))</f>
        <v/>
      </c>
      <c r="AA18" s="82">
        <f>IF(OR($C18="",AA$7=""),"",IF(Z18="",Y18,INDEX(Settings_ShiftLegends,IF(MATCH(Z18,Settings_ShiftLegends,0)+1&gt;COUNTA(Settings_ShiftLegends),1,MATCH(Z18,Settings_ShiftLegends,0)+1))))</f>
        <v/>
      </c>
      <c r="AB18" s="82">
        <f>IF(OR($C18="",AB$7=""),"",IF(AA18="",Z18,INDEX(Settings_ShiftLegends,IF(MATCH(AA18,Settings_ShiftLegends,0)+1&gt;COUNTA(Settings_ShiftLegends),1,MATCH(AA18,Settings_ShiftLegends,0)+1))))</f>
        <v/>
      </c>
      <c r="AC18" s="82">
        <f>IF(OR($C18="",AC$7=""),"",IF(AB18="",AA18,INDEX(Settings_ShiftLegends,IF(MATCH(AB18,Settings_ShiftLegends,0)+1&gt;COUNTA(Settings_ShiftLegends),1,MATCH(AB18,Settings_ShiftLegends,0)+1))))</f>
        <v/>
      </c>
      <c r="AD18" s="82">
        <f>IF(OR($C18="",AD$7=""),"",IF(AC18="",AB18,INDEX(Settings_ShiftLegends,IF(MATCH(AC18,Settings_ShiftLegends,0)+1&gt;COUNTA(Settings_ShiftLegends),1,MATCH(AC18,Settings_ShiftLegends,0)+1))))</f>
        <v/>
      </c>
      <c r="AE18" s="82">
        <f>IF(OR($C18="",AE$7=""),"",IF(AD18="",AC18,INDEX(Settings_ShiftLegends,IF(MATCH(AD18,Settings_ShiftLegends,0)+1&gt;COUNTA(Settings_ShiftLegends),1,MATCH(AD18,Settings_ShiftLegends,0)+1))))</f>
        <v/>
      </c>
      <c r="AF18" s="82">
        <f>IF(OR($C18="",AF$7=""),"",IF(AE18="",AD18,INDEX(Settings_ShiftLegends,IF(MATCH(AE18,Settings_ShiftLegends,0)+1&gt;COUNTA(Settings_ShiftLegends),1,MATCH(AE18,Settings_ShiftLegends,0)+1))))</f>
        <v/>
      </c>
      <c r="AG18" s="82">
        <f>IF(OR($C18="",AG$7=""),"",IF(AF18="",AE18,INDEX(Settings_ShiftLegends,IF(MATCH(AF18,Settings_ShiftLegends,0)+1&gt;COUNTA(Settings_ShiftLegends),1,MATCH(AF18,Settings_ShiftLegends,0)+1))))</f>
        <v/>
      </c>
      <c r="AH18" s="82">
        <f>IF(OR($C18="",AH$7=""),"",IF(AG18="",AF18,INDEX(Settings_ShiftLegends,IF(MATCH(AG18,Settings_ShiftLegends,0)+1&gt;COUNTA(Settings_ShiftLegends),1,MATCH(AG18,Settings_ShiftLegends,0)+1))))</f>
        <v/>
      </c>
      <c r="AI18" s="82">
        <f>IF(OR($C18="",AI$7=""),"",IF(AH18="",AG18,INDEX(Settings_ShiftLegends,IF(MATCH(AH18,Settings_ShiftLegends,0)+1&gt;COUNTA(Settings_ShiftLegends),1,MATCH(AH18,Settings_ShiftLegends,0)+1))))</f>
        <v/>
      </c>
      <c r="AK18" s="82">
        <f>COUNTIF($E18:$AI18,"M*")</f>
        <v/>
      </c>
      <c r="AL18" s="82">
        <f>COUNTIF($E18:$AI18,"A*")</f>
        <v/>
      </c>
      <c r="AM18" s="82">
        <f>COUNTIF($E18:$AI18,"N*")</f>
        <v/>
      </c>
      <c r="AN18" s="82">
        <f>COUNTIF($E18:$AI18,"O*")</f>
        <v/>
      </c>
    </row>
    <row r="19">
      <c r="B19" s="3" t="inlineStr">
        <is>
          <t>Employee -12</t>
        </is>
      </c>
      <c r="C19" s="3" t="inlineStr">
        <is>
          <t>N1</t>
        </is>
      </c>
      <c r="E19" s="82">
        <f>IF(OR($C19="",E$7=""),"",IF(D19="",C19,INDEX(Settings_ShiftLegends,IF(MATCH(D19,Settings_ShiftLegends,0)+1&gt;COUNTA(Settings_ShiftLegends),1,MATCH(D19,Settings_ShiftLegends,0)+1))))</f>
        <v/>
      </c>
      <c r="F19" s="82">
        <f>IF(OR($C19="",F$7=""),"",IF(E19="",D19,INDEX(Settings_ShiftLegends,IF(MATCH(E19,Settings_ShiftLegends,0)+1&gt;COUNTA(Settings_ShiftLegends),1,MATCH(E19,Settings_ShiftLegends,0)+1))))</f>
        <v/>
      </c>
      <c r="G19" s="82">
        <f>IF(OR($C19="",G$7=""),"",IF(F19="",E19,INDEX(Settings_ShiftLegends,IF(MATCH(F19,Settings_ShiftLegends,0)+1&gt;COUNTA(Settings_ShiftLegends),1,MATCH(F19,Settings_ShiftLegends,0)+1))))</f>
        <v/>
      </c>
      <c r="H19" s="82">
        <f>IF(OR($C19="",H$7=""),"",IF(G19="",F19,INDEX(Settings_ShiftLegends,IF(MATCH(G19,Settings_ShiftLegends,0)+1&gt;COUNTA(Settings_ShiftLegends),1,MATCH(G19,Settings_ShiftLegends,0)+1))))</f>
        <v/>
      </c>
      <c r="I19" s="82">
        <f>IF(OR($C19="",I$7=""),"",IF(H19="",G19,INDEX(Settings_ShiftLegends,IF(MATCH(H19,Settings_ShiftLegends,0)+1&gt;COUNTA(Settings_ShiftLegends),1,MATCH(H19,Settings_ShiftLegends,0)+1))))</f>
        <v/>
      </c>
      <c r="J19" s="82">
        <f>IF(OR($C19="",J$7=""),"",IF(I19="",H19,INDEX(Settings_ShiftLegends,IF(MATCH(I19,Settings_ShiftLegends,0)+1&gt;COUNTA(Settings_ShiftLegends),1,MATCH(I19,Settings_ShiftLegends,0)+1))))</f>
        <v/>
      </c>
      <c r="K19" s="82">
        <f>IF(OR($C19="",K$7=""),"",IF(J19="",I19,INDEX(Settings_ShiftLegends,IF(MATCH(J19,Settings_ShiftLegends,0)+1&gt;COUNTA(Settings_ShiftLegends),1,MATCH(J19,Settings_ShiftLegends,0)+1))))</f>
        <v/>
      </c>
      <c r="L19" s="82">
        <f>IF(OR($C19="",L$7=""),"",IF(K19="",J19,INDEX(Settings_ShiftLegends,IF(MATCH(K19,Settings_ShiftLegends,0)+1&gt;COUNTA(Settings_ShiftLegends),1,MATCH(K19,Settings_ShiftLegends,0)+1))))</f>
        <v/>
      </c>
      <c r="M19" s="82">
        <f>IF(OR($C19="",M$7=""),"",IF(L19="",K19,INDEX(Settings_ShiftLegends,IF(MATCH(L19,Settings_ShiftLegends,0)+1&gt;COUNTA(Settings_ShiftLegends),1,MATCH(L19,Settings_ShiftLegends,0)+1))))</f>
        <v/>
      </c>
      <c r="N19" s="82">
        <f>IF(OR($C19="",N$7=""),"",IF(M19="",L19,INDEX(Settings_ShiftLegends,IF(MATCH(M19,Settings_ShiftLegends,0)+1&gt;COUNTA(Settings_ShiftLegends),1,MATCH(M19,Settings_ShiftLegends,0)+1))))</f>
        <v/>
      </c>
      <c r="O19" s="82">
        <f>IF(OR($C19="",O$7=""),"",IF(N19="",M19,INDEX(Settings_ShiftLegends,IF(MATCH(N19,Settings_ShiftLegends,0)+1&gt;COUNTA(Settings_ShiftLegends),1,MATCH(N19,Settings_ShiftLegends,0)+1))))</f>
        <v/>
      </c>
      <c r="P19" s="82">
        <f>IF(OR($C19="",P$7=""),"",IF(O19="",N19,INDEX(Settings_ShiftLegends,IF(MATCH(O19,Settings_ShiftLegends,0)+1&gt;COUNTA(Settings_ShiftLegends),1,MATCH(O19,Settings_ShiftLegends,0)+1))))</f>
        <v/>
      </c>
      <c r="Q19" s="82">
        <f>IF(OR($C19="",Q$7=""),"",IF(P19="",O19,INDEX(Settings_ShiftLegends,IF(MATCH(P19,Settings_ShiftLegends,0)+1&gt;COUNTA(Settings_ShiftLegends),1,MATCH(P19,Settings_ShiftLegends,0)+1))))</f>
        <v/>
      </c>
      <c r="R19" s="82">
        <f>IF(OR($C19="",R$7=""),"",IF(Q19="",P19,INDEX(Settings_ShiftLegends,IF(MATCH(Q19,Settings_ShiftLegends,0)+1&gt;COUNTA(Settings_ShiftLegends),1,MATCH(Q19,Settings_ShiftLegends,0)+1))))</f>
        <v/>
      </c>
      <c r="S19" s="82">
        <f>IF(OR($C19="",S$7=""),"",IF(R19="",Q19,INDEX(Settings_ShiftLegends,IF(MATCH(R19,Settings_ShiftLegends,0)+1&gt;COUNTA(Settings_ShiftLegends),1,MATCH(R19,Settings_ShiftLegends,0)+1))))</f>
        <v/>
      </c>
      <c r="T19" s="82">
        <f>IF(OR($C19="",T$7=""),"",IF(S19="",R19,INDEX(Settings_ShiftLegends,IF(MATCH(S19,Settings_ShiftLegends,0)+1&gt;COUNTA(Settings_ShiftLegends),1,MATCH(S19,Settings_ShiftLegends,0)+1))))</f>
        <v/>
      </c>
      <c r="U19" s="82">
        <f>IF(OR($C19="",U$7=""),"",IF(T19="",S19,INDEX(Settings_ShiftLegends,IF(MATCH(T19,Settings_ShiftLegends,0)+1&gt;COUNTA(Settings_ShiftLegends),1,MATCH(T19,Settings_ShiftLegends,0)+1))))</f>
        <v/>
      </c>
      <c r="V19" s="82">
        <f>IF(OR($C19="",V$7=""),"",IF(U19="",T19,INDEX(Settings_ShiftLegends,IF(MATCH(U19,Settings_ShiftLegends,0)+1&gt;COUNTA(Settings_ShiftLegends),1,MATCH(U19,Settings_ShiftLegends,0)+1))))</f>
        <v/>
      </c>
      <c r="W19" s="82">
        <f>IF(OR($C19="",W$7=""),"",IF(V19="",U19,INDEX(Settings_ShiftLegends,IF(MATCH(V19,Settings_ShiftLegends,0)+1&gt;COUNTA(Settings_ShiftLegends),1,MATCH(V19,Settings_ShiftLegends,0)+1))))</f>
        <v/>
      </c>
      <c r="X19" s="82">
        <f>IF(OR($C19="",X$7=""),"",IF(W19="",V19,INDEX(Settings_ShiftLegends,IF(MATCH(W19,Settings_ShiftLegends,0)+1&gt;COUNTA(Settings_ShiftLegends),1,MATCH(W19,Settings_ShiftLegends,0)+1))))</f>
        <v/>
      </c>
      <c r="Y19" s="82">
        <f>IF(OR($C19="",Y$7=""),"",IF(X19="",W19,INDEX(Settings_ShiftLegends,IF(MATCH(X19,Settings_ShiftLegends,0)+1&gt;COUNTA(Settings_ShiftLegends),1,MATCH(X19,Settings_ShiftLegends,0)+1))))</f>
        <v/>
      </c>
      <c r="Z19" s="82">
        <f>IF(OR($C19="",Z$7=""),"",IF(Y19="",X19,INDEX(Settings_ShiftLegends,IF(MATCH(Y19,Settings_ShiftLegends,0)+1&gt;COUNTA(Settings_ShiftLegends),1,MATCH(Y19,Settings_ShiftLegends,0)+1))))</f>
        <v/>
      </c>
      <c r="AA19" s="82">
        <f>IF(OR($C19="",AA$7=""),"",IF(Z19="",Y19,INDEX(Settings_ShiftLegends,IF(MATCH(Z19,Settings_ShiftLegends,0)+1&gt;COUNTA(Settings_ShiftLegends),1,MATCH(Z19,Settings_ShiftLegends,0)+1))))</f>
        <v/>
      </c>
      <c r="AB19" s="82">
        <f>IF(OR($C19="",AB$7=""),"",IF(AA19="",Z19,INDEX(Settings_ShiftLegends,IF(MATCH(AA19,Settings_ShiftLegends,0)+1&gt;COUNTA(Settings_ShiftLegends),1,MATCH(AA19,Settings_ShiftLegends,0)+1))))</f>
        <v/>
      </c>
      <c r="AC19" s="82">
        <f>IF(OR($C19="",AC$7=""),"",IF(AB19="",AA19,INDEX(Settings_ShiftLegends,IF(MATCH(AB19,Settings_ShiftLegends,0)+1&gt;COUNTA(Settings_ShiftLegends),1,MATCH(AB19,Settings_ShiftLegends,0)+1))))</f>
        <v/>
      </c>
      <c r="AD19" s="82">
        <f>IF(OR($C19="",AD$7=""),"",IF(AC19="",AB19,INDEX(Settings_ShiftLegends,IF(MATCH(AC19,Settings_ShiftLegends,0)+1&gt;COUNTA(Settings_ShiftLegends),1,MATCH(AC19,Settings_ShiftLegends,0)+1))))</f>
        <v/>
      </c>
      <c r="AE19" s="82">
        <f>IF(OR($C19="",AE$7=""),"",IF(AD19="",AC19,INDEX(Settings_ShiftLegends,IF(MATCH(AD19,Settings_ShiftLegends,0)+1&gt;COUNTA(Settings_ShiftLegends),1,MATCH(AD19,Settings_ShiftLegends,0)+1))))</f>
        <v/>
      </c>
      <c r="AF19" s="82">
        <f>IF(OR($C19="",AF$7=""),"",IF(AE19="",AD19,INDEX(Settings_ShiftLegends,IF(MATCH(AE19,Settings_ShiftLegends,0)+1&gt;COUNTA(Settings_ShiftLegends),1,MATCH(AE19,Settings_ShiftLegends,0)+1))))</f>
        <v/>
      </c>
      <c r="AG19" s="82">
        <f>IF(OR($C19="",AG$7=""),"",IF(AF19="",AE19,INDEX(Settings_ShiftLegends,IF(MATCH(AF19,Settings_ShiftLegends,0)+1&gt;COUNTA(Settings_ShiftLegends),1,MATCH(AF19,Settings_ShiftLegends,0)+1))))</f>
        <v/>
      </c>
      <c r="AH19" s="82">
        <f>IF(OR($C19="",AH$7=""),"",IF(AG19="",AF19,INDEX(Settings_ShiftLegends,IF(MATCH(AG19,Settings_ShiftLegends,0)+1&gt;COUNTA(Settings_ShiftLegends),1,MATCH(AG19,Settings_ShiftLegends,0)+1))))</f>
        <v/>
      </c>
      <c r="AI19" s="82">
        <f>IF(OR($C19="",AI$7=""),"",IF(AH19="",AG19,INDEX(Settings_ShiftLegends,IF(MATCH(AH19,Settings_ShiftLegends,0)+1&gt;COUNTA(Settings_ShiftLegends),1,MATCH(AH19,Settings_ShiftLegends,0)+1))))</f>
        <v/>
      </c>
      <c r="AK19" s="82">
        <f>COUNTIF($E19:$AI19,"M*")</f>
        <v/>
      </c>
      <c r="AL19" s="82">
        <f>COUNTIF($E19:$AI19,"A*")</f>
        <v/>
      </c>
      <c r="AM19" s="82">
        <f>COUNTIF($E19:$AI19,"N*")</f>
        <v/>
      </c>
      <c r="AN19" s="82">
        <f>COUNTIF($E19:$AI19,"O*")</f>
        <v/>
      </c>
    </row>
    <row r="20">
      <c r="B20" s="3" t="inlineStr">
        <is>
          <t>Employee -13</t>
        </is>
      </c>
      <c r="C20" s="3" t="inlineStr">
        <is>
          <t>N2</t>
        </is>
      </c>
      <c r="E20" s="82">
        <f>IF(OR($C20="",E$7=""),"",IF(D20="",C20,INDEX(Settings_ShiftLegends,IF(MATCH(D20,Settings_ShiftLegends,0)+1&gt;COUNTA(Settings_ShiftLegends),1,MATCH(D20,Settings_ShiftLegends,0)+1))))</f>
        <v/>
      </c>
      <c r="F20" s="82">
        <f>IF(OR($C20="",F$7=""),"",IF(E20="",D20,INDEX(Settings_ShiftLegends,IF(MATCH(E20,Settings_ShiftLegends,0)+1&gt;COUNTA(Settings_ShiftLegends),1,MATCH(E20,Settings_ShiftLegends,0)+1))))</f>
        <v/>
      </c>
      <c r="G20" s="82">
        <f>IF(OR($C20="",G$7=""),"",IF(F20="",E20,INDEX(Settings_ShiftLegends,IF(MATCH(F20,Settings_ShiftLegends,0)+1&gt;COUNTA(Settings_ShiftLegends),1,MATCH(F20,Settings_ShiftLegends,0)+1))))</f>
        <v/>
      </c>
      <c r="H20" s="82">
        <f>IF(OR($C20="",H$7=""),"",IF(G20="",F20,INDEX(Settings_ShiftLegends,IF(MATCH(G20,Settings_ShiftLegends,0)+1&gt;COUNTA(Settings_ShiftLegends),1,MATCH(G20,Settings_ShiftLegends,0)+1))))</f>
        <v/>
      </c>
      <c r="I20" s="82">
        <f>IF(OR($C20="",I$7=""),"",IF(H20="",G20,INDEX(Settings_ShiftLegends,IF(MATCH(H20,Settings_ShiftLegends,0)+1&gt;COUNTA(Settings_ShiftLegends),1,MATCH(H20,Settings_ShiftLegends,0)+1))))</f>
        <v/>
      </c>
      <c r="J20" s="82">
        <f>IF(OR($C20="",J$7=""),"",IF(I20="",H20,INDEX(Settings_ShiftLegends,IF(MATCH(I20,Settings_ShiftLegends,0)+1&gt;COUNTA(Settings_ShiftLegends),1,MATCH(I20,Settings_ShiftLegends,0)+1))))</f>
        <v/>
      </c>
      <c r="K20" s="82">
        <f>IF(OR($C20="",K$7=""),"",IF(J20="",I20,INDEX(Settings_ShiftLegends,IF(MATCH(J20,Settings_ShiftLegends,0)+1&gt;COUNTA(Settings_ShiftLegends),1,MATCH(J20,Settings_ShiftLegends,0)+1))))</f>
        <v/>
      </c>
      <c r="L20" s="82">
        <f>IF(OR($C20="",L$7=""),"",IF(K20="",J20,INDEX(Settings_ShiftLegends,IF(MATCH(K20,Settings_ShiftLegends,0)+1&gt;COUNTA(Settings_ShiftLegends),1,MATCH(K20,Settings_ShiftLegends,0)+1))))</f>
        <v/>
      </c>
      <c r="M20" s="82">
        <f>IF(OR($C20="",M$7=""),"",IF(L20="",K20,INDEX(Settings_ShiftLegends,IF(MATCH(L20,Settings_ShiftLegends,0)+1&gt;COUNTA(Settings_ShiftLegends),1,MATCH(L20,Settings_ShiftLegends,0)+1))))</f>
        <v/>
      </c>
      <c r="N20" s="82">
        <f>IF(OR($C20="",N$7=""),"",IF(M20="",L20,INDEX(Settings_ShiftLegends,IF(MATCH(M20,Settings_ShiftLegends,0)+1&gt;COUNTA(Settings_ShiftLegends),1,MATCH(M20,Settings_ShiftLegends,0)+1))))</f>
        <v/>
      </c>
      <c r="O20" s="82">
        <f>IF(OR($C20="",O$7=""),"",IF(N20="",M20,INDEX(Settings_ShiftLegends,IF(MATCH(N20,Settings_ShiftLegends,0)+1&gt;COUNTA(Settings_ShiftLegends),1,MATCH(N20,Settings_ShiftLegends,0)+1))))</f>
        <v/>
      </c>
      <c r="P20" s="82">
        <f>IF(OR($C20="",P$7=""),"",IF(O20="",N20,INDEX(Settings_ShiftLegends,IF(MATCH(O20,Settings_ShiftLegends,0)+1&gt;COUNTA(Settings_ShiftLegends),1,MATCH(O20,Settings_ShiftLegends,0)+1))))</f>
        <v/>
      </c>
      <c r="Q20" s="82">
        <f>IF(OR($C20="",Q$7=""),"",IF(P20="",O20,INDEX(Settings_ShiftLegends,IF(MATCH(P20,Settings_ShiftLegends,0)+1&gt;COUNTA(Settings_ShiftLegends),1,MATCH(P20,Settings_ShiftLegends,0)+1))))</f>
        <v/>
      </c>
      <c r="R20" s="82">
        <f>IF(OR($C20="",R$7=""),"",IF(Q20="",P20,INDEX(Settings_ShiftLegends,IF(MATCH(Q20,Settings_ShiftLegends,0)+1&gt;COUNTA(Settings_ShiftLegends),1,MATCH(Q20,Settings_ShiftLegends,0)+1))))</f>
        <v/>
      </c>
      <c r="S20" s="82">
        <f>IF(OR($C20="",S$7=""),"",IF(R20="",Q20,INDEX(Settings_ShiftLegends,IF(MATCH(R20,Settings_ShiftLegends,0)+1&gt;COUNTA(Settings_ShiftLegends),1,MATCH(R20,Settings_ShiftLegends,0)+1))))</f>
        <v/>
      </c>
      <c r="T20" s="82">
        <f>IF(OR($C20="",T$7=""),"",IF(S20="",R20,INDEX(Settings_ShiftLegends,IF(MATCH(S20,Settings_ShiftLegends,0)+1&gt;COUNTA(Settings_ShiftLegends),1,MATCH(S20,Settings_ShiftLegends,0)+1))))</f>
        <v/>
      </c>
      <c r="U20" s="82">
        <f>IF(OR($C20="",U$7=""),"",IF(T20="",S20,INDEX(Settings_ShiftLegends,IF(MATCH(T20,Settings_ShiftLegends,0)+1&gt;COUNTA(Settings_ShiftLegends),1,MATCH(T20,Settings_ShiftLegends,0)+1))))</f>
        <v/>
      </c>
      <c r="V20" s="82">
        <f>IF(OR($C20="",V$7=""),"",IF(U20="",T20,INDEX(Settings_ShiftLegends,IF(MATCH(U20,Settings_ShiftLegends,0)+1&gt;COUNTA(Settings_ShiftLegends),1,MATCH(U20,Settings_ShiftLegends,0)+1))))</f>
        <v/>
      </c>
      <c r="W20" s="82">
        <f>IF(OR($C20="",W$7=""),"",IF(V20="",U20,INDEX(Settings_ShiftLegends,IF(MATCH(V20,Settings_ShiftLegends,0)+1&gt;COUNTA(Settings_ShiftLegends),1,MATCH(V20,Settings_ShiftLegends,0)+1))))</f>
        <v/>
      </c>
      <c r="X20" s="82">
        <f>IF(OR($C20="",X$7=""),"",IF(W20="",V20,INDEX(Settings_ShiftLegends,IF(MATCH(W20,Settings_ShiftLegends,0)+1&gt;COUNTA(Settings_ShiftLegends),1,MATCH(W20,Settings_ShiftLegends,0)+1))))</f>
        <v/>
      </c>
      <c r="Y20" s="82">
        <f>IF(OR($C20="",Y$7=""),"",IF(X20="",W20,INDEX(Settings_ShiftLegends,IF(MATCH(X20,Settings_ShiftLegends,0)+1&gt;COUNTA(Settings_ShiftLegends),1,MATCH(X20,Settings_ShiftLegends,0)+1))))</f>
        <v/>
      </c>
      <c r="Z20" s="82">
        <f>IF(OR($C20="",Z$7=""),"",IF(Y20="",X20,INDEX(Settings_ShiftLegends,IF(MATCH(Y20,Settings_ShiftLegends,0)+1&gt;COUNTA(Settings_ShiftLegends),1,MATCH(Y20,Settings_ShiftLegends,0)+1))))</f>
        <v/>
      </c>
      <c r="AA20" s="82">
        <f>IF(OR($C20="",AA$7=""),"",IF(Z20="",Y20,INDEX(Settings_ShiftLegends,IF(MATCH(Z20,Settings_ShiftLegends,0)+1&gt;COUNTA(Settings_ShiftLegends),1,MATCH(Z20,Settings_ShiftLegends,0)+1))))</f>
        <v/>
      </c>
      <c r="AB20" s="82">
        <f>IF(OR($C20="",AB$7=""),"",IF(AA20="",Z20,INDEX(Settings_ShiftLegends,IF(MATCH(AA20,Settings_ShiftLegends,0)+1&gt;COUNTA(Settings_ShiftLegends),1,MATCH(AA20,Settings_ShiftLegends,0)+1))))</f>
        <v/>
      </c>
      <c r="AC20" s="82">
        <f>IF(OR($C20="",AC$7=""),"",IF(AB20="",AA20,INDEX(Settings_ShiftLegends,IF(MATCH(AB20,Settings_ShiftLegends,0)+1&gt;COUNTA(Settings_ShiftLegends),1,MATCH(AB20,Settings_ShiftLegends,0)+1))))</f>
        <v/>
      </c>
      <c r="AD20" s="82">
        <f>IF(OR($C20="",AD$7=""),"",IF(AC20="",AB20,INDEX(Settings_ShiftLegends,IF(MATCH(AC20,Settings_ShiftLegends,0)+1&gt;COUNTA(Settings_ShiftLegends),1,MATCH(AC20,Settings_ShiftLegends,0)+1))))</f>
        <v/>
      </c>
      <c r="AE20" s="82">
        <f>IF(OR($C20="",AE$7=""),"",IF(AD20="",AC20,INDEX(Settings_ShiftLegends,IF(MATCH(AD20,Settings_ShiftLegends,0)+1&gt;COUNTA(Settings_ShiftLegends),1,MATCH(AD20,Settings_ShiftLegends,0)+1))))</f>
        <v/>
      </c>
      <c r="AF20" s="82">
        <f>IF(OR($C20="",AF$7=""),"",IF(AE20="",AD20,INDEX(Settings_ShiftLegends,IF(MATCH(AE20,Settings_ShiftLegends,0)+1&gt;COUNTA(Settings_ShiftLegends),1,MATCH(AE20,Settings_ShiftLegends,0)+1))))</f>
        <v/>
      </c>
      <c r="AG20" s="82">
        <f>IF(OR($C20="",AG$7=""),"",IF(AF20="",AE20,INDEX(Settings_ShiftLegends,IF(MATCH(AF20,Settings_ShiftLegends,0)+1&gt;COUNTA(Settings_ShiftLegends),1,MATCH(AF20,Settings_ShiftLegends,0)+1))))</f>
        <v/>
      </c>
      <c r="AH20" s="82">
        <f>IF(OR($C20="",AH$7=""),"",IF(AG20="",AF20,INDEX(Settings_ShiftLegends,IF(MATCH(AG20,Settings_ShiftLegends,0)+1&gt;COUNTA(Settings_ShiftLegends),1,MATCH(AG20,Settings_ShiftLegends,0)+1))))</f>
        <v/>
      </c>
      <c r="AI20" s="82">
        <f>IF(OR($C20="",AI$7=""),"",IF(AH20="",AG20,INDEX(Settings_ShiftLegends,IF(MATCH(AH20,Settings_ShiftLegends,0)+1&gt;COUNTA(Settings_ShiftLegends),1,MATCH(AH20,Settings_ShiftLegends,0)+1))))</f>
        <v/>
      </c>
      <c r="AK20" s="82">
        <f>COUNTIF($E20:$AI20,"M*")</f>
        <v/>
      </c>
      <c r="AL20" s="82">
        <f>COUNTIF($E20:$AI20,"A*")</f>
        <v/>
      </c>
      <c r="AM20" s="82">
        <f>COUNTIF($E20:$AI20,"N*")</f>
        <v/>
      </c>
      <c r="AN20" s="82">
        <f>COUNTIF($E20:$AI20,"O*")</f>
        <v/>
      </c>
    </row>
    <row r="21">
      <c r="B21" s="3" t="inlineStr">
        <is>
          <t>Employee -14</t>
        </is>
      </c>
      <c r="C21" s="3" t="inlineStr">
        <is>
          <t>O1</t>
        </is>
      </c>
      <c r="E21" s="82">
        <f>IF(OR($C21="",E$7=""),"",IF(D21="",C21,INDEX(Settings_ShiftLegends,IF(MATCH(D21,Settings_ShiftLegends,0)+1&gt;COUNTA(Settings_ShiftLegends),1,MATCH(D21,Settings_ShiftLegends,0)+1))))</f>
        <v/>
      </c>
      <c r="F21" s="82">
        <f>IF(OR($C21="",F$7=""),"",IF(E21="",D21,INDEX(Settings_ShiftLegends,IF(MATCH(E21,Settings_ShiftLegends,0)+1&gt;COUNTA(Settings_ShiftLegends),1,MATCH(E21,Settings_ShiftLegends,0)+1))))</f>
        <v/>
      </c>
      <c r="G21" s="82">
        <f>IF(OR($C21="",G$7=""),"",IF(F21="",E21,INDEX(Settings_ShiftLegends,IF(MATCH(F21,Settings_ShiftLegends,0)+1&gt;COUNTA(Settings_ShiftLegends),1,MATCH(F21,Settings_ShiftLegends,0)+1))))</f>
        <v/>
      </c>
      <c r="H21" s="82">
        <f>IF(OR($C21="",H$7=""),"",IF(G21="",F21,INDEX(Settings_ShiftLegends,IF(MATCH(G21,Settings_ShiftLegends,0)+1&gt;COUNTA(Settings_ShiftLegends),1,MATCH(G21,Settings_ShiftLegends,0)+1))))</f>
        <v/>
      </c>
      <c r="I21" s="82">
        <f>IF(OR($C21="",I$7=""),"",IF(H21="",G21,INDEX(Settings_ShiftLegends,IF(MATCH(H21,Settings_ShiftLegends,0)+1&gt;COUNTA(Settings_ShiftLegends),1,MATCH(H21,Settings_ShiftLegends,0)+1))))</f>
        <v/>
      </c>
      <c r="J21" s="82">
        <f>IF(OR($C21="",J$7=""),"",IF(I21="",H21,INDEX(Settings_ShiftLegends,IF(MATCH(I21,Settings_ShiftLegends,0)+1&gt;COUNTA(Settings_ShiftLegends),1,MATCH(I21,Settings_ShiftLegends,0)+1))))</f>
        <v/>
      </c>
      <c r="K21" s="82">
        <f>IF(OR($C21="",K$7=""),"",IF(J21="",I21,INDEX(Settings_ShiftLegends,IF(MATCH(J21,Settings_ShiftLegends,0)+1&gt;COUNTA(Settings_ShiftLegends),1,MATCH(J21,Settings_ShiftLegends,0)+1))))</f>
        <v/>
      </c>
      <c r="L21" s="82">
        <f>IF(OR($C21="",L$7=""),"",IF(K21="",J21,INDEX(Settings_ShiftLegends,IF(MATCH(K21,Settings_ShiftLegends,0)+1&gt;COUNTA(Settings_ShiftLegends),1,MATCH(K21,Settings_ShiftLegends,0)+1))))</f>
        <v/>
      </c>
      <c r="M21" s="82">
        <f>IF(OR($C21="",M$7=""),"",IF(L21="",K21,INDEX(Settings_ShiftLegends,IF(MATCH(L21,Settings_ShiftLegends,0)+1&gt;COUNTA(Settings_ShiftLegends),1,MATCH(L21,Settings_ShiftLegends,0)+1))))</f>
        <v/>
      </c>
      <c r="N21" s="82">
        <f>IF(OR($C21="",N$7=""),"",IF(M21="",L21,INDEX(Settings_ShiftLegends,IF(MATCH(M21,Settings_ShiftLegends,0)+1&gt;COUNTA(Settings_ShiftLegends),1,MATCH(M21,Settings_ShiftLegends,0)+1))))</f>
        <v/>
      </c>
      <c r="O21" s="82">
        <f>IF(OR($C21="",O$7=""),"",IF(N21="",M21,INDEX(Settings_ShiftLegends,IF(MATCH(N21,Settings_ShiftLegends,0)+1&gt;COUNTA(Settings_ShiftLegends),1,MATCH(N21,Settings_ShiftLegends,0)+1))))</f>
        <v/>
      </c>
      <c r="P21" s="82">
        <f>IF(OR($C21="",P$7=""),"",IF(O21="",N21,INDEX(Settings_ShiftLegends,IF(MATCH(O21,Settings_ShiftLegends,0)+1&gt;COUNTA(Settings_ShiftLegends),1,MATCH(O21,Settings_ShiftLegends,0)+1))))</f>
        <v/>
      </c>
      <c r="Q21" s="82">
        <f>IF(OR($C21="",Q$7=""),"",IF(P21="",O21,INDEX(Settings_ShiftLegends,IF(MATCH(P21,Settings_ShiftLegends,0)+1&gt;COUNTA(Settings_ShiftLegends),1,MATCH(P21,Settings_ShiftLegends,0)+1))))</f>
        <v/>
      </c>
      <c r="R21" s="82">
        <f>IF(OR($C21="",R$7=""),"",IF(Q21="",P21,INDEX(Settings_ShiftLegends,IF(MATCH(Q21,Settings_ShiftLegends,0)+1&gt;COUNTA(Settings_ShiftLegends),1,MATCH(Q21,Settings_ShiftLegends,0)+1))))</f>
        <v/>
      </c>
      <c r="S21" s="82">
        <f>IF(OR($C21="",S$7=""),"",IF(R21="",Q21,INDEX(Settings_ShiftLegends,IF(MATCH(R21,Settings_ShiftLegends,0)+1&gt;COUNTA(Settings_ShiftLegends),1,MATCH(R21,Settings_ShiftLegends,0)+1))))</f>
        <v/>
      </c>
      <c r="T21" s="82">
        <f>IF(OR($C21="",T$7=""),"",IF(S21="",R21,INDEX(Settings_ShiftLegends,IF(MATCH(S21,Settings_ShiftLegends,0)+1&gt;COUNTA(Settings_ShiftLegends),1,MATCH(S21,Settings_ShiftLegends,0)+1))))</f>
        <v/>
      </c>
      <c r="U21" s="82">
        <f>IF(OR($C21="",U$7=""),"",IF(T21="",S21,INDEX(Settings_ShiftLegends,IF(MATCH(T21,Settings_ShiftLegends,0)+1&gt;COUNTA(Settings_ShiftLegends),1,MATCH(T21,Settings_ShiftLegends,0)+1))))</f>
        <v/>
      </c>
      <c r="V21" s="82">
        <f>IF(OR($C21="",V$7=""),"",IF(U21="",T21,INDEX(Settings_ShiftLegends,IF(MATCH(U21,Settings_ShiftLegends,0)+1&gt;COUNTA(Settings_ShiftLegends),1,MATCH(U21,Settings_ShiftLegends,0)+1))))</f>
        <v/>
      </c>
      <c r="W21" s="82">
        <f>IF(OR($C21="",W$7=""),"",IF(V21="",U21,INDEX(Settings_ShiftLegends,IF(MATCH(V21,Settings_ShiftLegends,0)+1&gt;COUNTA(Settings_ShiftLegends),1,MATCH(V21,Settings_ShiftLegends,0)+1))))</f>
        <v/>
      </c>
      <c r="X21" s="82">
        <f>IF(OR($C21="",X$7=""),"",IF(W21="",V21,INDEX(Settings_ShiftLegends,IF(MATCH(W21,Settings_ShiftLegends,0)+1&gt;COUNTA(Settings_ShiftLegends),1,MATCH(W21,Settings_ShiftLegends,0)+1))))</f>
        <v/>
      </c>
      <c r="Y21" s="82">
        <f>IF(OR($C21="",Y$7=""),"",IF(X21="",W21,INDEX(Settings_ShiftLegends,IF(MATCH(X21,Settings_ShiftLegends,0)+1&gt;COUNTA(Settings_ShiftLegends),1,MATCH(X21,Settings_ShiftLegends,0)+1))))</f>
        <v/>
      </c>
      <c r="Z21" s="82">
        <f>IF(OR($C21="",Z$7=""),"",IF(Y21="",X21,INDEX(Settings_ShiftLegends,IF(MATCH(Y21,Settings_ShiftLegends,0)+1&gt;COUNTA(Settings_ShiftLegends),1,MATCH(Y21,Settings_ShiftLegends,0)+1))))</f>
        <v/>
      </c>
      <c r="AA21" s="82">
        <f>IF(OR($C21="",AA$7=""),"",IF(Z21="",Y21,INDEX(Settings_ShiftLegends,IF(MATCH(Z21,Settings_ShiftLegends,0)+1&gt;COUNTA(Settings_ShiftLegends),1,MATCH(Z21,Settings_ShiftLegends,0)+1))))</f>
        <v/>
      </c>
      <c r="AB21" s="82">
        <f>IF(OR($C21="",AB$7=""),"",IF(AA21="",Z21,INDEX(Settings_ShiftLegends,IF(MATCH(AA21,Settings_ShiftLegends,0)+1&gt;COUNTA(Settings_ShiftLegends),1,MATCH(AA21,Settings_ShiftLegends,0)+1))))</f>
        <v/>
      </c>
      <c r="AC21" s="82">
        <f>IF(OR($C21="",AC$7=""),"",IF(AB21="",AA21,INDEX(Settings_ShiftLegends,IF(MATCH(AB21,Settings_ShiftLegends,0)+1&gt;COUNTA(Settings_ShiftLegends),1,MATCH(AB21,Settings_ShiftLegends,0)+1))))</f>
        <v/>
      </c>
      <c r="AD21" s="82">
        <f>IF(OR($C21="",AD$7=""),"",IF(AC21="",AB21,INDEX(Settings_ShiftLegends,IF(MATCH(AC21,Settings_ShiftLegends,0)+1&gt;COUNTA(Settings_ShiftLegends),1,MATCH(AC21,Settings_ShiftLegends,0)+1))))</f>
        <v/>
      </c>
      <c r="AE21" s="82">
        <f>IF(OR($C21="",AE$7=""),"",IF(AD21="",AC21,INDEX(Settings_ShiftLegends,IF(MATCH(AD21,Settings_ShiftLegends,0)+1&gt;COUNTA(Settings_ShiftLegends),1,MATCH(AD21,Settings_ShiftLegends,0)+1))))</f>
        <v/>
      </c>
      <c r="AF21" s="82">
        <f>IF(OR($C21="",AF$7=""),"",IF(AE21="",AD21,INDEX(Settings_ShiftLegends,IF(MATCH(AE21,Settings_ShiftLegends,0)+1&gt;COUNTA(Settings_ShiftLegends),1,MATCH(AE21,Settings_ShiftLegends,0)+1))))</f>
        <v/>
      </c>
      <c r="AG21" s="82">
        <f>IF(OR($C21="",AG$7=""),"",IF(AF21="",AE21,INDEX(Settings_ShiftLegends,IF(MATCH(AF21,Settings_ShiftLegends,0)+1&gt;COUNTA(Settings_ShiftLegends),1,MATCH(AF21,Settings_ShiftLegends,0)+1))))</f>
        <v/>
      </c>
      <c r="AH21" s="82">
        <f>IF(OR($C21="",AH$7=""),"",IF(AG21="",AF21,INDEX(Settings_ShiftLegends,IF(MATCH(AG21,Settings_ShiftLegends,0)+1&gt;COUNTA(Settings_ShiftLegends),1,MATCH(AG21,Settings_ShiftLegends,0)+1))))</f>
        <v/>
      </c>
      <c r="AI21" s="82">
        <f>IF(OR($C21="",AI$7=""),"",IF(AH21="",AG21,INDEX(Settings_ShiftLegends,IF(MATCH(AH21,Settings_ShiftLegends,0)+1&gt;COUNTA(Settings_ShiftLegends),1,MATCH(AH21,Settings_ShiftLegends,0)+1))))</f>
        <v/>
      </c>
      <c r="AK21" s="82">
        <f>COUNTIF($E21:$AI21,"M*")</f>
        <v/>
      </c>
      <c r="AL21" s="82">
        <f>COUNTIF($E21:$AI21,"A*")</f>
        <v/>
      </c>
      <c r="AM21" s="82">
        <f>COUNTIF($E21:$AI21,"N*")</f>
        <v/>
      </c>
      <c r="AN21" s="82">
        <f>COUNTIF($E21:$AI21,"O*")</f>
        <v/>
      </c>
    </row>
    <row r="22">
      <c r="B22" s="3" t="inlineStr">
        <is>
          <t>Employee -15</t>
        </is>
      </c>
      <c r="C22" s="3" t="inlineStr">
        <is>
          <t>O2</t>
        </is>
      </c>
      <c r="E22" s="82">
        <f>IF(OR($C22="",E$7=""),"",IF(D22="",C22,INDEX(Settings_ShiftLegends,IF(MATCH(D22,Settings_ShiftLegends,0)+1&gt;COUNTA(Settings_ShiftLegends),1,MATCH(D22,Settings_ShiftLegends,0)+1))))</f>
        <v/>
      </c>
      <c r="F22" s="82">
        <f>IF(OR($C22="",F$7=""),"",IF(E22="",D22,INDEX(Settings_ShiftLegends,IF(MATCH(E22,Settings_ShiftLegends,0)+1&gt;COUNTA(Settings_ShiftLegends),1,MATCH(E22,Settings_ShiftLegends,0)+1))))</f>
        <v/>
      </c>
      <c r="G22" s="82">
        <f>IF(OR($C22="",G$7=""),"",IF(F22="",E22,INDEX(Settings_ShiftLegends,IF(MATCH(F22,Settings_ShiftLegends,0)+1&gt;COUNTA(Settings_ShiftLegends),1,MATCH(F22,Settings_ShiftLegends,0)+1))))</f>
        <v/>
      </c>
      <c r="H22" s="82">
        <f>IF(OR($C22="",H$7=""),"",IF(G22="",F22,INDEX(Settings_ShiftLegends,IF(MATCH(G22,Settings_ShiftLegends,0)+1&gt;COUNTA(Settings_ShiftLegends),1,MATCH(G22,Settings_ShiftLegends,0)+1))))</f>
        <v/>
      </c>
      <c r="I22" s="82">
        <f>IF(OR($C22="",I$7=""),"",IF(H22="",G22,INDEX(Settings_ShiftLegends,IF(MATCH(H22,Settings_ShiftLegends,0)+1&gt;COUNTA(Settings_ShiftLegends),1,MATCH(H22,Settings_ShiftLegends,0)+1))))</f>
        <v/>
      </c>
      <c r="J22" s="82">
        <f>IF(OR($C22="",J$7=""),"",IF(I22="",H22,INDEX(Settings_ShiftLegends,IF(MATCH(I22,Settings_ShiftLegends,0)+1&gt;COUNTA(Settings_ShiftLegends),1,MATCH(I22,Settings_ShiftLegends,0)+1))))</f>
        <v/>
      </c>
      <c r="K22" s="82">
        <f>IF(OR($C22="",K$7=""),"",IF(J22="",I22,INDEX(Settings_ShiftLegends,IF(MATCH(J22,Settings_ShiftLegends,0)+1&gt;COUNTA(Settings_ShiftLegends),1,MATCH(J22,Settings_ShiftLegends,0)+1))))</f>
        <v/>
      </c>
      <c r="L22" s="82">
        <f>IF(OR($C22="",L$7=""),"",IF(K22="",J22,INDEX(Settings_ShiftLegends,IF(MATCH(K22,Settings_ShiftLegends,0)+1&gt;COUNTA(Settings_ShiftLegends),1,MATCH(K22,Settings_ShiftLegends,0)+1))))</f>
        <v/>
      </c>
      <c r="M22" s="82">
        <f>IF(OR($C22="",M$7=""),"",IF(L22="",K22,INDEX(Settings_ShiftLegends,IF(MATCH(L22,Settings_ShiftLegends,0)+1&gt;COUNTA(Settings_ShiftLegends),1,MATCH(L22,Settings_ShiftLegends,0)+1))))</f>
        <v/>
      </c>
      <c r="N22" s="82">
        <f>IF(OR($C22="",N$7=""),"",IF(M22="",L22,INDEX(Settings_ShiftLegends,IF(MATCH(M22,Settings_ShiftLegends,0)+1&gt;COUNTA(Settings_ShiftLegends),1,MATCH(M22,Settings_ShiftLegends,0)+1))))</f>
        <v/>
      </c>
      <c r="O22" s="82">
        <f>IF(OR($C22="",O$7=""),"",IF(N22="",M22,INDEX(Settings_ShiftLegends,IF(MATCH(N22,Settings_ShiftLegends,0)+1&gt;COUNTA(Settings_ShiftLegends),1,MATCH(N22,Settings_ShiftLegends,0)+1))))</f>
        <v/>
      </c>
      <c r="P22" s="82">
        <f>IF(OR($C22="",P$7=""),"",IF(O22="",N22,INDEX(Settings_ShiftLegends,IF(MATCH(O22,Settings_ShiftLegends,0)+1&gt;COUNTA(Settings_ShiftLegends),1,MATCH(O22,Settings_ShiftLegends,0)+1))))</f>
        <v/>
      </c>
      <c r="Q22" s="82">
        <f>IF(OR($C22="",Q$7=""),"",IF(P22="",O22,INDEX(Settings_ShiftLegends,IF(MATCH(P22,Settings_ShiftLegends,0)+1&gt;COUNTA(Settings_ShiftLegends),1,MATCH(P22,Settings_ShiftLegends,0)+1))))</f>
        <v/>
      </c>
      <c r="R22" s="82">
        <f>IF(OR($C22="",R$7=""),"",IF(Q22="",P22,INDEX(Settings_ShiftLegends,IF(MATCH(Q22,Settings_ShiftLegends,0)+1&gt;COUNTA(Settings_ShiftLegends),1,MATCH(Q22,Settings_ShiftLegends,0)+1))))</f>
        <v/>
      </c>
      <c r="S22" s="82">
        <f>IF(OR($C22="",S$7=""),"",IF(R22="",Q22,INDEX(Settings_ShiftLegends,IF(MATCH(R22,Settings_ShiftLegends,0)+1&gt;COUNTA(Settings_ShiftLegends),1,MATCH(R22,Settings_ShiftLegends,0)+1))))</f>
        <v/>
      </c>
      <c r="T22" s="82">
        <f>IF(OR($C22="",T$7=""),"",IF(S22="",R22,INDEX(Settings_ShiftLegends,IF(MATCH(S22,Settings_ShiftLegends,0)+1&gt;COUNTA(Settings_ShiftLegends),1,MATCH(S22,Settings_ShiftLegends,0)+1))))</f>
        <v/>
      </c>
      <c r="U22" s="82">
        <f>IF(OR($C22="",U$7=""),"",IF(T22="",S22,INDEX(Settings_ShiftLegends,IF(MATCH(T22,Settings_ShiftLegends,0)+1&gt;COUNTA(Settings_ShiftLegends),1,MATCH(T22,Settings_ShiftLegends,0)+1))))</f>
        <v/>
      </c>
      <c r="V22" s="82">
        <f>IF(OR($C22="",V$7=""),"",IF(U22="",T22,INDEX(Settings_ShiftLegends,IF(MATCH(U22,Settings_ShiftLegends,0)+1&gt;COUNTA(Settings_ShiftLegends),1,MATCH(U22,Settings_ShiftLegends,0)+1))))</f>
        <v/>
      </c>
      <c r="W22" s="82">
        <f>IF(OR($C22="",W$7=""),"",IF(V22="",U22,INDEX(Settings_ShiftLegends,IF(MATCH(V22,Settings_ShiftLegends,0)+1&gt;COUNTA(Settings_ShiftLegends),1,MATCH(V22,Settings_ShiftLegends,0)+1))))</f>
        <v/>
      </c>
      <c r="X22" s="82">
        <f>IF(OR($C22="",X$7=""),"",IF(W22="",V22,INDEX(Settings_ShiftLegends,IF(MATCH(W22,Settings_ShiftLegends,0)+1&gt;COUNTA(Settings_ShiftLegends),1,MATCH(W22,Settings_ShiftLegends,0)+1))))</f>
        <v/>
      </c>
      <c r="Y22" s="82">
        <f>IF(OR($C22="",Y$7=""),"",IF(X22="",W22,INDEX(Settings_ShiftLegends,IF(MATCH(X22,Settings_ShiftLegends,0)+1&gt;COUNTA(Settings_ShiftLegends),1,MATCH(X22,Settings_ShiftLegends,0)+1))))</f>
        <v/>
      </c>
      <c r="Z22" s="82">
        <f>IF(OR($C22="",Z$7=""),"",IF(Y22="",X22,INDEX(Settings_ShiftLegends,IF(MATCH(Y22,Settings_ShiftLegends,0)+1&gt;COUNTA(Settings_ShiftLegends),1,MATCH(Y22,Settings_ShiftLegends,0)+1))))</f>
        <v/>
      </c>
      <c r="AA22" s="82">
        <f>IF(OR($C22="",AA$7=""),"",IF(Z22="",Y22,INDEX(Settings_ShiftLegends,IF(MATCH(Z22,Settings_ShiftLegends,0)+1&gt;COUNTA(Settings_ShiftLegends),1,MATCH(Z22,Settings_ShiftLegends,0)+1))))</f>
        <v/>
      </c>
      <c r="AB22" s="82">
        <f>IF(OR($C22="",AB$7=""),"",IF(AA22="",Z22,INDEX(Settings_ShiftLegends,IF(MATCH(AA22,Settings_ShiftLegends,0)+1&gt;COUNTA(Settings_ShiftLegends),1,MATCH(AA22,Settings_ShiftLegends,0)+1))))</f>
        <v/>
      </c>
      <c r="AC22" s="82">
        <f>IF(OR($C22="",AC$7=""),"",IF(AB22="",AA22,INDEX(Settings_ShiftLegends,IF(MATCH(AB22,Settings_ShiftLegends,0)+1&gt;COUNTA(Settings_ShiftLegends),1,MATCH(AB22,Settings_ShiftLegends,0)+1))))</f>
        <v/>
      </c>
      <c r="AD22" s="82">
        <f>IF(OR($C22="",AD$7=""),"",IF(AC22="",AB22,INDEX(Settings_ShiftLegends,IF(MATCH(AC22,Settings_ShiftLegends,0)+1&gt;COUNTA(Settings_ShiftLegends),1,MATCH(AC22,Settings_ShiftLegends,0)+1))))</f>
        <v/>
      </c>
      <c r="AE22" s="82">
        <f>IF(OR($C22="",AE$7=""),"",IF(AD22="",AC22,INDEX(Settings_ShiftLegends,IF(MATCH(AD22,Settings_ShiftLegends,0)+1&gt;COUNTA(Settings_ShiftLegends),1,MATCH(AD22,Settings_ShiftLegends,0)+1))))</f>
        <v/>
      </c>
      <c r="AF22" s="82">
        <f>IF(OR($C22="",AF$7=""),"",IF(AE22="",AD22,INDEX(Settings_ShiftLegends,IF(MATCH(AE22,Settings_ShiftLegends,0)+1&gt;COUNTA(Settings_ShiftLegends),1,MATCH(AE22,Settings_ShiftLegends,0)+1))))</f>
        <v/>
      </c>
      <c r="AG22" s="82">
        <f>IF(OR($C22="",AG$7=""),"",IF(AF22="",AE22,INDEX(Settings_ShiftLegends,IF(MATCH(AF22,Settings_ShiftLegends,0)+1&gt;COUNTA(Settings_ShiftLegends),1,MATCH(AF22,Settings_ShiftLegends,0)+1))))</f>
        <v/>
      </c>
      <c r="AH22" s="82">
        <f>IF(OR($C22="",AH$7=""),"",IF(AG22="",AF22,INDEX(Settings_ShiftLegends,IF(MATCH(AG22,Settings_ShiftLegends,0)+1&gt;COUNTA(Settings_ShiftLegends),1,MATCH(AG22,Settings_ShiftLegends,0)+1))))</f>
        <v/>
      </c>
      <c r="AI22" s="82">
        <f>IF(OR($C22="",AI$7=""),"",IF(AH22="",AG22,INDEX(Settings_ShiftLegends,IF(MATCH(AH22,Settings_ShiftLegends,0)+1&gt;COUNTA(Settings_ShiftLegends),1,MATCH(AH22,Settings_ShiftLegends,0)+1))))</f>
        <v/>
      </c>
      <c r="AK22" s="82">
        <f>COUNTIF($E22:$AI22,"M*")</f>
        <v/>
      </c>
      <c r="AL22" s="82">
        <f>COUNTIF($E22:$AI22,"A*")</f>
        <v/>
      </c>
      <c r="AM22" s="82">
        <f>COUNTIF($E22:$AI22,"N*")</f>
        <v/>
      </c>
      <c r="AN22" s="82">
        <f>COUNTIF($E22:$AI22,"O*")</f>
        <v/>
      </c>
    </row>
    <row r="23">
      <c r="B23" s="3" t="inlineStr">
        <is>
          <t>Employee -16</t>
        </is>
      </c>
      <c r="C23" s="3" t="inlineStr">
        <is>
          <t>O3</t>
        </is>
      </c>
      <c r="E23" s="82">
        <f>IF(OR($C23="",E$7=""),"",IF(D23="",C23,INDEX(Settings_ShiftLegends,IF(MATCH(D23,Settings_ShiftLegends,0)+1&gt;COUNTA(Settings_ShiftLegends),1,MATCH(D23,Settings_ShiftLegends,0)+1))))</f>
        <v/>
      </c>
      <c r="F23" s="82">
        <f>IF(OR($C23="",F$7=""),"",IF(E23="",D23,INDEX(Settings_ShiftLegends,IF(MATCH(E23,Settings_ShiftLegends,0)+1&gt;COUNTA(Settings_ShiftLegends),1,MATCH(E23,Settings_ShiftLegends,0)+1))))</f>
        <v/>
      </c>
      <c r="G23" s="82">
        <f>IF(OR($C23="",G$7=""),"",IF(F23="",E23,INDEX(Settings_ShiftLegends,IF(MATCH(F23,Settings_ShiftLegends,0)+1&gt;COUNTA(Settings_ShiftLegends),1,MATCH(F23,Settings_ShiftLegends,0)+1))))</f>
        <v/>
      </c>
      <c r="H23" s="82">
        <f>IF(OR($C23="",H$7=""),"",IF(G23="",F23,INDEX(Settings_ShiftLegends,IF(MATCH(G23,Settings_ShiftLegends,0)+1&gt;COUNTA(Settings_ShiftLegends),1,MATCH(G23,Settings_ShiftLegends,0)+1))))</f>
        <v/>
      </c>
      <c r="I23" s="82">
        <f>IF(OR($C23="",I$7=""),"",IF(H23="",G23,INDEX(Settings_ShiftLegends,IF(MATCH(H23,Settings_ShiftLegends,0)+1&gt;COUNTA(Settings_ShiftLegends),1,MATCH(H23,Settings_ShiftLegends,0)+1))))</f>
        <v/>
      </c>
      <c r="J23" s="82">
        <f>IF(OR($C23="",J$7=""),"",IF(I23="",H23,INDEX(Settings_ShiftLegends,IF(MATCH(I23,Settings_ShiftLegends,0)+1&gt;COUNTA(Settings_ShiftLegends),1,MATCH(I23,Settings_ShiftLegends,0)+1))))</f>
        <v/>
      </c>
      <c r="K23" s="82">
        <f>IF(OR($C23="",K$7=""),"",IF(J23="",I23,INDEX(Settings_ShiftLegends,IF(MATCH(J23,Settings_ShiftLegends,0)+1&gt;COUNTA(Settings_ShiftLegends),1,MATCH(J23,Settings_ShiftLegends,0)+1))))</f>
        <v/>
      </c>
      <c r="L23" s="82">
        <f>IF(OR($C23="",L$7=""),"",IF(K23="",J23,INDEX(Settings_ShiftLegends,IF(MATCH(K23,Settings_ShiftLegends,0)+1&gt;COUNTA(Settings_ShiftLegends),1,MATCH(K23,Settings_ShiftLegends,0)+1))))</f>
        <v/>
      </c>
      <c r="M23" s="82">
        <f>IF(OR($C23="",M$7=""),"",IF(L23="",K23,INDEX(Settings_ShiftLegends,IF(MATCH(L23,Settings_ShiftLegends,0)+1&gt;COUNTA(Settings_ShiftLegends),1,MATCH(L23,Settings_ShiftLegends,0)+1))))</f>
        <v/>
      </c>
      <c r="N23" s="82">
        <f>IF(OR($C23="",N$7=""),"",IF(M23="",L23,INDEX(Settings_ShiftLegends,IF(MATCH(M23,Settings_ShiftLegends,0)+1&gt;COUNTA(Settings_ShiftLegends),1,MATCH(M23,Settings_ShiftLegends,0)+1))))</f>
        <v/>
      </c>
      <c r="O23" s="82">
        <f>IF(OR($C23="",O$7=""),"",IF(N23="",M23,INDEX(Settings_ShiftLegends,IF(MATCH(N23,Settings_ShiftLegends,0)+1&gt;COUNTA(Settings_ShiftLegends),1,MATCH(N23,Settings_ShiftLegends,0)+1))))</f>
        <v/>
      </c>
      <c r="P23" s="82">
        <f>IF(OR($C23="",P$7=""),"",IF(O23="",N23,INDEX(Settings_ShiftLegends,IF(MATCH(O23,Settings_ShiftLegends,0)+1&gt;COUNTA(Settings_ShiftLegends),1,MATCH(O23,Settings_ShiftLegends,0)+1))))</f>
        <v/>
      </c>
      <c r="Q23" s="82">
        <f>IF(OR($C23="",Q$7=""),"",IF(P23="",O23,INDEX(Settings_ShiftLegends,IF(MATCH(P23,Settings_ShiftLegends,0)+1&gt;COUNTA(Settings_ShiftLegends),1,MATCH(P23,Settings_ShiftLegends,0)+1))))</f>
        <v/>
      </c>
      <c r="R23" s="82">
        <f>IF(OR($C23="",R$7=""),"",IF(Q23="",P23,INDEX(Settings_ShiftLegends,IF(MATCH(Q23,Settings_ShiftLegends,0)+1&gt;COUNTA(Settings_ShiftLegends),1,MATCH(Q23,Settings_ShiftLegends,0)+1))))</f>
        <v/>
      </c>
      <c r="S23" s="82">
        <f>IF(OR($C23="",S$7=""),"",IF(R23="",Q23,INDEX(Settings_ShiftLegends,IF(MATCH(R23,Settings_ShiftLegends,0)+1&gt;COUNTA(Settings_ShiftLegends),1,MATCH(R23,Settings_ShiftLegends,0)+1))))</f>
        <v/>
      </c>
      <c r="T23" s="82">
        <f>IF(OR($C23="",T$7=""),"",IF(S23="",R23,INDEX(Settings_ShiftLegends,IF(MATCH(S23,Settings_ShiftLegends,0)+1&gt;COUNTA(Settings_ShiftLegends),1,MATCH(S23,Settings_ShiftLegends,0)+1))))</f>
        <v/>
      </c>
      <c r="U23" s="82">
        <f>IF(OR($C23="",U$7=""),"",IF(T23="",S23,INDEX(Settings_ShiftLegends,IF(MATCH(T23,Settings_ShiftLegends,0)+1&gt;COUNTA(Settings_ShiftLegends),1,MATCH(T23,Settings_ShiftLegends,0)+1))))</f>
        <v/>
      </c>
      <c r="V23" s="82">
        <f>IF(OR($C23="",V$7=""),"",IF(U23="",T23,INDEX(Settings_ShiftLegends,IF(MATCH(U23,Settings_ShiftLegends,0)+1&gt;COUNTA(Settings_ShiftLegends),1,MATCH(U23,Settings_ShiftLegends,0)+1))))</f>
        <v/>
      </c>
      <c r="W23" s="82">
        <f>IF(OR($C23="",W$7=""),"",IF(V23="",U23,INDEX(Settings_ShiftLegends,IF(MATCH(V23,Settings_ShiftLegends,0)+1&gt;COUNTA(Settings_ShiftLegends),1,MATCH(V23,Settings_ShiftLegends,0)+1))))</f>
        <v/>
      </c>
      <c r="X23" s="82">
        <f>IF(OR($C23="",X$7=""),"",IF(W23="",V23,INDEX(Settings_ShiftLegends,IF(MATCH(W23,Settings_ShiftLegends,0)+1&gt;COUNTA(Settings_ShiftLegends),1,MATCH(W23,Settings_ShiftLegends,0)+1))))</f>
        <v/>
      </c>
      <c r="Y23" s="82">
        <f>IF(OR($C23="",Y$7=""),"",IF(X23="",W23,INDEX(Settings_ShiftLegends,IF(MATCH(X23,Settings_ShiftLegends,0)+1&gt;COUNTA(Settings_ShiftLegends),1,MATCH(X23,Settings_ShiftLegends,0)+1))))</f>
        <v/>
      </c>
      <c r="Z23" s="82">
        <f>IF(OR($C23="",Z$7=""),"",IF(Y23="",X23,INDEX(Settings_ShiftLegends,IF(MATCH(Y23,Settings_ShiftLegends,0)+1&gt;COUNTA(Settings_ShiftLegends),1,MATCH(Y23,Settings_ShiftLegends,0)+1))))</f>
        <v/>
      </c>
      <c r="AA23" s="82">
        <f>IF(OR($C23="",AA$7=""),"",IF(Z23="",Y23,INDEX(Settings_ShiftLegends,IF(MATCH(Z23,Settings_ShiftLegends,0)+1&gt;COUNTA(Settings_ShiftLegends),1,MATCH(Z23,Settings_ShiftLegends,0)+1))))</f>
        <v/>
      </c>
      <c r="AB23" s="82">
        <f>IF(OR($C23="",AB$7=""),"",IF(AA23="",Z23,INDEX(Settings_ShiftLegends,IF(MATCH(AA23,Settings_ShiftLegends,0)+1&gt;COUNTA(Settings_ShiftLegends),1,MATCH(AA23,Settings_ShiftLegends,0)+1))))</f>
        <v/>
      </c>
      <c r="AC23" s="82">
        <f>IF(OR($C23="",AC$7=""),"",IF(AB23="",AA23,INDEX(Settings_ShiftLegends,IF(MATCH(AB23,Settings_ShiftLegends,0)+1&gt;COUNTA(Settings_ShiftLegends),1,MATCH(AB23,Settings_ShiftLegends,0)+1))))</f>
        <v/>
      </c>
      <c r="AD23" s="82">
        <f>IF(OR($C23="",AD$7=""),"",IF(AC23="",AB23,INDEX(Settings_ShiftLegends,IF(MATCH(AC23,Settings_ShiftLegends,0)+1&gt;COUNTA(Settings_ShiftLegends),1,MATCH(AC23,Settings_ShiftLegends,0)+1))))</f>
        <v/>
      </c>
      <c r="AE23" s="82">
        <f>IF(OR($C23="",AE$7=""),"",IF(AD23="",AC23,INDEX(Settings_ShiftLegends,IF(MATCH(AD23,Settings_ShiftLegends,0)+1&gt;COUNTA(Settings_ShiftLegends),1,MATCH(AD23,Settings_ShiftLegends,0)+1))))</f>
        <v/>
      </c>
      <c r="AF23" s="82">
        <f>IF(OR($C23="",AF$7=""),"",IF(AE23="",AD23,INDEX(Settings_ShiftLegends,IF(MATCH(AE23,Settings_ShiftLegends,0)+1&gt;COUNTA(Settings_ShiftLegends),1,MATCH(AE23,Settings_ShiftLegends,0)+1))))</f>
        <v/>
      </c>
      <c r="AG23" s="82">
        <f>IF(OR($C23="",AG$7=""),"",IF(AF23="",AE23,INDEX(Settings_ShiftLegends,IF(MATCH(AF23,Settings_ShiftLegends,0)+1&gt;COUNTA(Settings_ShiftLegends),1,MATCH(AF23,Settings_ShiftLegends,0)+1))))</f>
        <v/>
      </c>
      <c r="AH23" s="82">
        <f>IF(OR($C23="",AH$7=""),"",IF(AG23="",AF23,INDEX(Settings_ShiftLegends,IF(MATCH(AG23,Settings_ShiftLegends,0)+1&gt;COUNTA(Settings_ShiftLegends),1,MATCH(AG23,Settings_ShiftLegends,0)+1))))</f>
        <v/>
      </c>
      <c r="AI23" s="82">
        <f>IF(OR($C23="",AI$7=""),"",IF(AH23="",AG23,INDEX(Settings_ShiftLegends,IF(MATCH(AH23,Settings_ShiftLegends,0)+1&gt;COUNTA(Settings_ShiftLegends),1,MATCH(AH23,Settings_ShiftLegends,0)+1))))</f>
        <v/>
      </c>
      <c r="AK23" s="82">
        <f>COUNTIF($E23:$AI23,"M*")</f>
        <v/>
      </c>
      <c r="AL23" s="82">
        <f>COUNTIF($E23:$AI23,"A*")</f>
        <v/>
      </c>
      <c r="AM23" s="82">
        <f>COUNTIF($E23:$AI23,"N*")</f>
        <v/>
      </c>
      <c r="AN23" s="82">
        <f>COUNTIF($E23:$AI23,"O*")</f>
        <v/>
      </c>
    </row>
    <row r="24">
      <c r="B24" s="3" t="inlineStr">
        <is>
          <t>Employee -17</t>
        </is>
      </c>
      <c r="C24" s="3" t="inlineStr">
        <is>
          <t>M1</t>
        </is>
      </c>
      <c r="E24" s="82">
        <f>IF(OR($C24="",E$7=""),"",IF(D24="",C24,INDEX(Settings_ShiftLegends,IF(MATCH(D24,Settings_ShiftLegends,0)+1&gt;COUNTA(Settings_ShiftLegends),1,MATCH(D24,Settings_ShiftLegends,0)+1))))</f>
        <v/>
      </c>
      <c r="F24" s="82">
        <f>IF(OR($C24="",F$7=""),"",IF(E24="",D24,INDEX(Settings_ShiftLegends,IF(MATCH(E24,Settings_ShiftLegends,0)+1&gt;COUNTA(Settings_ShiftLegends),1,MATCH(E24,Settings_ShiftLegends,0)+1))))</f>
        <v/>
      </c>
      <c r="G24" s="82">
        <f>IF(OR($C24="",G$7=""),"",IF(F24="",E24,INDEX(Settings_ShiftLegends,IF(MATCH(F24,Settings_ShiftLegends,0)+1&gt;COUNTA(Settings_ShiftLegends),1,MATCH(F24,Settings_ShiftLegends,0)+1))))</f>
        <v/>
      </c>
      <c r="H24" s="82">
        <f>IF(OR($C24="",H$7=""),"",IF(G24="",F24,INDEX(Settings_ShiftLegends,IF(MATCH(G24,Settings_ShiftLegends,0)+1&gt;COUNTA(Settings_ShiftLegends),1,MATCH(G24,Settings_ShiftLegends,0)+1))))</f>
        <v/>
      </c>
      <c r="I24" s="82">
        <f>IF(OR($C24="",I$7=""),"",IF(H24="",G24,INDEX(Settings_ShiftLegends,IF(MATCH(H24,Settings_ShiftLegends,0)+1&gt;COUNTA(Settings_ShiftLegends),1,MATCH(H24,Settings_ShiftLegends,0)+1))))</f>
        <v/>
      </c>
      <c r="J24" s="82">
        <f>IF(OR($C24="",J$7=""),"",IF(I24="",H24,INDEX(Settings_ShiftLegends,IF(MATCH(I24,Settings_ShiftLegends,0)+1&gt;COUNTA(Settings_ShiftLegends),1,MATCH(I24,Settings_ShiftLegends,0)+1))))</f>
        <v/>
      </c>
      <c r="K24" s="82">
        <f>IF(OR($C24="",K$7=""),"",IF(J24="",I24,INDEX(Settings_ShiftLegends,IF(MATCH(J24,Settings_ShiftLegends,0)+1&gt;COUNTA(Settings_ShiftLegends),1,MATCH(J24,Settings_ShiftLegends,0)+1))))</f>
        <v/>
      </c>
      <c r="L24" s="82">
        <f>IF(OR($C24="",L$7=""),"",IF(K24="",J24,INDEX(Settings_ShiftLegends,IF(MATCH(K24,Settings_ShiftLegends,0)+1&gt;COUNTA(Settings_ShiftLegends),1,MATCH(K24,Settings_ShiftLegends,0)+1))))</f>
        <v/>
      </c>
      <c r="M24" s="82">
        <f>IF(OR($C24="",M$7=""),"",IF(L24="",K24,INDEX(Settings_ShiftLegends,IF(MATCH(L24,Settings_ShiftLegends,0)+1&gt;COUNTA(Settings_ShiftLegends),1,MATCH(L24,Settings_ShiftLegends,0)+1))))</f>
        <v/>
      </c>
      <c r="N24" s="82">
        <f>IF(OR($C24="",N$7=""),"",IF(M24="",L24,INDEX(Settings_ShiftLegends,IF(MATCH(M24,Settings_ShiftLegends,0)+1&gt;COUNTA(Settings_ShiftLegends),1,MATCH(M24,Settings_ShiftLegends,0)+1))))</f>
        <v/>
      </c>
      <c r="O24" s="82">
        <f>IF(OR($C24="",O$7=""),"",IF(N24="",M24,INDEX(Settings_ShiftLegends,IF(MATCH(N24,Settings_ShiftLegends,0)+1&gt;COUNTA(Settings_ShiftLegends),1,MATCH(N24,Settings_ShiftLegends,0)+1))))</f>
        <v/>
      </c>
      <c r="P24" s="82">
        <f>IF(OR($C24="",P$7=""),"",IF(O24="",N24,INDEX(Settings_ShiftLegends,IF(MATCH(O24,Settings_ShiftLegends,0)+1&gt;COUNTA(Settings_ShiftLegends),1,MATCH(O24,Settings_ShiftLegends,0)+1))))</f>
        <v/>
      </c>
      <c r="Q24" s="82">
        <f>IF(OR($C24="",Q$7=""),"",IF(P24="",O24,INDEX(Settings_ShiftLegends,IF(MATCH(P24,Settings_ShiftLegends,0)+1&gt;COUNTA(Settings_ShiftLegends),1,MATCH(P24,Settings_ShiftLegends,0)+1))))</f>
        <v/>
      </c>
      <c r="R24" s="82">
        <f>IF(OR($C24="",R$7=""),"",IF(Q24="",P24,INDEX(Settings_ShiftLegends,IF(MATCH(Q24,Settings_ShiftLegends,0)+1&gt;COUNTA(Settings_ShiftLegends),1,MATCH(Q24,Settings_ShiftLegends,0)+1))))</f>
        <v/>
      </c>
      <c r="S24" s="82">
        <f>IF(OR($C24="",S$7=""),"",IF(R24="",Q24,INDEX(Settings_ShiftLegends,IF(MATCH(R24,Settings_ShiftLegends,0)+1&gt;COUNTA(Settings_ShiftLegends),1,MATCH(R24,Settings_ShiftLegends,0)+1))))</f>
        <v/>
      </c>
      <c r="T24" s="82">
        <f>IF(OR($C24="",T$7=""),"",IF(S24="",R24,INDEX(Settings_ShiftLegends,IF(MATCH(S24,Settings_ShiftLegends,0)+1&gt;COUNTA(Settings_ShiftLegends),1,MATCH(S24,Settings_ShiftLegends,0)+1))))</f>
        <v/>
      </c>
      <c r="U24" s="82">
        <f>IF(OR($C24="",U$7=""),"",IF(T24="",S24,INDEX(Settings_ShiftLegends,IF(MATCH(T24,Settings_ShiftLegends,0)+1&gt;COUNTA(Settings_ShiftLegends),1,MATCH(T24,Settings_ShiftLegends,0)+1))))</f>
        <v/>
      </c>
      <c r="V24" s="82">
        <f>IF(OR($C24="",V$7=""),"",IF(U24="",T24,INDEX(Settings_ShiftLegends,IF(MATCH(U24,Settings_ShiftLegends,0)+1&gt;COUNTA(Settings_ShiftLegends),1,MATCH(U24,Settings_ShiftLegends,0)+1))))</f>
        <v/>
      </c>
      <c r="W24" s="82">
        <f>IF(OR($C24="",W$7=""),"",IF(V24="",U24,INDEX(Settings_ShiftLegends,IF(MATCH(V24,Settings_ShiftLegends,0)+1&gt;COUNTA(Settings_ShiftLegends),1,MATCH(V24,Settings_ShiftLegends,0)+1))))</f>
        <v/>
      </c>
      <c r="X24" s="82">
        <f>IF(OR($C24="",X$7=""),"",IF(W24="",V24,INDEX(Settings_ShiftLegends,IF(MATCH(W24,Settings_ShiftLegends,0)+1&gt;COUNTA(Settings_ShiftLegends),1,MATCH(W24,Settings_ShiftLegends,0)+1))))</f>
        <v/>
      </c>
      <c r="Y24" s="82">
        <f>IF(OR($C24="",Y$7=""),"",IF(X24="",W24,INDEX(Settings_ShiftLegends,IF(MATCH(X24,Settings_ShiftLegends,0)+1&gt;COUNTA(Settings_ShiftLegends),1,MATCH(X24,Settings_ShiftLegends,0)+1))))</f>
        <v/>
      </c>
      <c r="Z24" s="82">
        <f>IF(OR($C24="",Z$7=""),"",IF(Y24="",X24,INDEX(Settings_ShiftLegends,IF(MATCH(Y24,Settings_ShiftLegends,0)+1&gt;COUNTA(Settings_ShiftLegends),1,MATCH(Y24,Settings_ShiftLegends,0)+1))))</f>
        <v/>
      </c>
      <c r="AA24" s="82">
        <f>IF(OR($C24="",AA$7=""),"",IF(Z24="",Y24,INDEX(Settings_ShiftLegends,IF(MATCH(Z24,Settings_ShiftLegends,0)+1&gt;COUNTA(Settings_ShiftLegends),1,MATCH(Z24,Settings_ShiftLegends,0)+1))))</f>
        <v/>
      </c>
      <c r="AB24" s="82">
        <f>IF(OR($C24="",AB$7=""),"",IF(AA24="",Z24,INDEX(Settings_ShiftLegends,IF(MATCH(AA24,Settings_ShiftLegends,0)+1&gt;COUNTA(Settings_ShiftLegends),1,MATCH(AA24,Settings_ShiftLegends,0)+1))))</f>
        <v/>
      </c>
      <c r="AC24" s="82">
        <f>IF(OR($C24="",AC$7=""),"",IF(AB24="",AA24,INDEX(Settings_ShiftLegends,IF(MATCH(AB24,Settings_ShiftLegends,0)+1&gt;COUNTA(Settings_ShiftLegends),1,MATCH(AB24,Settings_ShiftLegends,0)+1))))</f>
        <v/>
      </c>
      <c r="AD24" s="82">
        <f>IF(OR($C24="",AD$7=""),"",IF(AC24="",AB24,INDEX(Settings_ShiftLegends,IF(MATCH(AC24,Settings_ShiftLegends,0)+1&gt;COUNTA(Settings_ShiftLegends),1,MATCH(AC24,Settings_ShiftLegends,0)+1))))</f>
        <v/>
      </c>
      <c r="AE24" s="82">
        <f>IF(OR($C24="",AE$7=""),"",IF(AD24="",AC24,INDEX(Settings_ShiftLegends,IF(MATCH(AD24,Settings_ShiftLegends,0)+1&gt;COUNTA(Settings_ShiftLegends),1,MATCH(AD24,Settings_ShiftLegends,0)+1))))</f>
        <v/>
      </c>
      <c r="AF24" s="82">
        <f>IF(OR($C24="",AF$7=""),"",IF(AE24="",AD24,INDEX(Settings_ShiftLegends,IF(MATCH(AE24,Settings_ShiftLegends,0)+1&gt;COUNTA(Settings_ShiftLegends),1,MATCH(AE24,Settings_ShiftLegends,0)+1))))</f>
        <v/>
      </c>
      <c r="AG24" s="82">
        <f>IF(OR($C24="",AG$7=""),"",IF(AF24="",AE24,INDEX(Settings_ShiftLegends,IF(MATCH(AF24,Settings_ShiftLegends,0)+1&gt;COUNTA(Settings_ShiftLegends),1,MATCH(AF24,Settings_ShiftLegends,0)+1))))</f>
        <v/>
      </c>
      <c r="AH24" s="82">
        <f>IF(OR($C24="",AH$7=""),"",IF(AG24="",AF24,INDEX(Settings_ShiftLegends,IF(MATCH(AG24,Settings_ShiftLegends,0)+1&gt;COUNTA(Settings_ShiftLegends),1,MATCH(AG24,Settings_ShiftLegends,0)+1))))</f>
        <v/>
      </c>
      <c r="AI24" s="82">
        <f>IF(OR($C24="",AI$7=""),"",IF(AH24="",AG24,INDEX(Settings_ShiftLegends,IF(MATCH(AH24,Settings_ShiftLegends,0)+1&gt;COUNTA(Settings_ShiftLegends),1,MATCH(AH24,Settings_ShiftLegends,0)+1))))</f>
        <v/>
      </c>
      <c r="AK24" s="82">
        <f>COUNTIF($E24:$AI24,"M*")</f>
        <v/>
      </c>
      <c r="AL24" s="82">
        <f>COUNTIF($E24:$AI24,"A*")</f>
        <v/>
      </c>
      <c r="AM24" s="82">
        <f>COUNTIF($E24:$AI24,"N*")</f>
        <v/>
      </c>
      <c r="AN24" s="82">
        <f>COUNTIF($E24:$AI24,"O*")</f>
        <v/>
      </c>
    </row>
    <row r="25">
      <c r="B25" s="3" t="inlineStr">
        <is>
          <t>Employee -18</t>
        </is>
      </c>
      <c r="C25" s="3" t="inlineStr">
        <is>
          <t>M2</t>
        </is>
      </c>
      <c r="E25" s="82">
        <f>IF(OR($C25="",E$7=""),"",IF(D25="",C25,INDEX(Settings_ShiftLegends,IF(MATCH(D25,Settings_ShiftLegends,0)+1&gt;COUNTA(Settings_ShiftLegends),1,MATCH(D25,Settings_ShiftLegends,0)+1))))</f>
        <v/>
      </c>
      <c r="F25" s="82">
        <f>IF(OR($C25="",F$7=""),"",IF(E25="",D25,INDEX(Settings_ShiftLegends,IF(MATCH(E25,Settings_ShiftLegends,0)+1&gt;COUNTA(Settings_ShiftLegends),1,MATCH(E25,Settings_ShiftLegends,0)+1))))</f>
        <v/>
      </c>
      <c r="G25" s="82">
        <f>IF(OR($C25="",G$7=""),"",IF(F25="",E25,INDEX(Settings_ShiftLegends,IF(MATCH(F25,Settings_ShiftLegends,0)+1&gt;COUNTA(Settings_ShiftLegends),1,MATCH(F25,Settings_ShiftLegends,0)+1))))</f>
        <v/>
      </c>
      <c r="H25" s="82">
        <f>IF(OR($C25="",H$7=""),"",IF(G25="",F25,INDEX(Settings_ShiftLegends,IF(MATCH(G25,Settings_ShiftLegends,0)+1&gt;COUNTA(Settings_ShiftLegends),1,MATCH(G25,Settings_ShiftLegends,0)+1))))</f>
        <v/>
      </c>
      <c r="I25" s="82">
        <f>IF(OR($C25="",I$7=""),"",IF(H25="",G25,INDEX(Settings_ShiftLegends,IF(MATCH(H25,Settings_ShiftLegends,0)+1&gt;COUNTA(Settings_ShiftLegends),1,MATCH(H25,Settings_ShiftLegends,0)+1))))</f>
        <v/>
      </c>
      <c r="J25" s="82">
        <f>IF(OR($C25="",J$7=""),"",IF(I25="",H25,INDEX(Settings_ShiftLegends,IF(MATCH(I25,Settings_ShiftLegends,0)+1&gt;COUNTA(Settings_ShiftLegends),1,MATCH(I25,Settings_ShiftLegends,0)+1))))</f>
        <v/>
      </c>
      <c r="K25" s="82">
        <f>IF(OR($C25="",K$7=""),"",IF(J25="",I25,INDEX(Settings_ShiftLegends,IF(MATCH(J25,Settings_ShiftLegends,0)+1&gt;COUNTA(Settings_ShiftLegends),1,MATCH(J25,Settings_ShiftLegends,0)+1))))</f>
        <v/>
      </c>
      <c r="L25" s="82">
        <f>IF(OR($C25="",L$7=""),"",IF(K25="",J25,INDEX(Settings_ShiftLegends,IF(MATCH(K25,Settings_ShiftLegends,0)+1&gt;COUNTA(Settings_ShiftLegends),1,MATCH(K25,Settings_ShiftLegends,0)+1))))</f>
        <v/>
      </c>
      <c r="M25" s="82">
        <f>IF(OR($C25="",M$7=""),"",IF(L25="",K25,INDEX(Settings_ShiftLegends,IF(MATCH(L25,Settings_ShiftLegends,0)+1&gt;COUNTA(Settings_ShiftLegends),1,MATCH(L25,Settings_ShiftLegends,0)+1))))</f>
        <v/>
      </c>
      <c r="N25" s="82">
        <f>IF(OR($C25="",N$7=""),"",IF(M25="",L25,INDEX(Settings_ShiftLegends,IF(MATCH(M25,Settings_ShiftLegends,0)+1&gt;COUNTA(Settings_ShiftLegends),1,MATCH(M25,Settings_ShiftLegends,0)+1))))</f>
        <v/>
      </c>
      <c r="O25" s="82">
        <f>IF(OR($C25="",O$7=""),"",IF(N25="",M25,INDEX(Settings_ShiftLegends,IF(MATCH(N25,Settings_ShiftLegends,0)+1&gt;COUNTA(Settings_ShiftLegends),1,MATCH(N25,Settings_ShiftLegends,0)+1))))</f>
        <v/>
      </c>
      <c r="P25" s="82">
        <f>IF(OR($C25="",P$7=""),"",IF(O25="",N25,INDEX(Settings_ShiftLegends,IF(MATCH(O25,Settings_ShiftLegends,0)+1&gt;COUNTA(Settings_ShiftLegends),1,MATCH(O25,Settings_ShiftLegends,0)+1))))</f>
        <v/>
      </c>
      <c r="Q25" s="82">
        <f>IF(OR($C25="",Q$7=""),"",IF(P25="",O25,INDEX(Settings_ShiftLegends,IF(MATCH(P25,Settings_ShiftLegends,0)+1&gt;COUNTA(Settings_ShiftLegends),1,MATCH(P25,Settings_ShiftLegends,0)+1))))</f>
        <v/>
      </c>
      <c r="R25" s="82">
        <f>IF(OR($C25="",R$7=""),"",IF(Q25="",P25,INDEX(Settings_ShiftLegends,IF(MATCH(Q25,Settings_ShiftLegends,0)+1&gt;COUNTA(Settings_ShiftLegends),1,MATCH(Q25,Settings_ShiftLegends,0)+1))))</f>
        <v/>
      </c>
      <c r="S25" s="82">
        <f>IF(OR($C25="",S$7=""),"",IF(R25="",Q25,INDEX(Settings_ShiftLegends,IF(MATCH(R25,Settings_ShiftLegends,0)+1&gt;COUNTA(Settings_ShiftLegends),1,MATCH(R25,Settings_ShiftLegends,0)+1))))</f>
        <v/>
      </c>
      <c r="T25" s="82">
        <f>IF(OR($C25="",T$7=""),"",IF(S25="",R25,INDEX(Settings_ShiftLegends,IF(MATCH(S25,Settings_ShiftLegends,0)+1&gt;COUNTA(Settings_ShiftLegends),1,MATCH(S25,Settings_ShiftLegends,0)+1))))</f>
        <v/>
      </c>
      <c r="U25" s="82">
        <f>IF(OR($C25="",U$7=""),"",IF(T25="",S25,INDEX(Settings_ShiftLegends,IF(MATCH(T25,Settings_ShiftLegends,0)+1&gt;COUNTA(Settings_ShiftLegends),1,MATCH(T25,Settings_ShiftLegends,0)+1))))</f>
        <v/>
      </c>
      <c r="V25" s="82">
        <f>IF(OR($C25="",V$7=""),"",IF(U25="",T25,INDEX(Settings_ShiftLegends,IF(MATCH(U25,Settings_ShiftLegends,0)+1&gt;COUNTA(Settings_ShiftLegends),1,MATCH(U25,Settings_ShiftLegends,0)+1))))</f>
        <v/>
      </c>
      <c r="W25" s="82">
        <f>IF(OR($C25="",W$7=""),"",IF(V25="",U25,INDEX(Settings_ShiftLegends,IF(MATCH(V25,Settings_ShiftLegends,0)+1&gt;COUNTA(Settings_ShiftLegends),1,MATCH(V25,Settings_ShiftLegends,0)+1))))</f>
        <v/>
      </c>
      <c r="X25" s="82">
        <f>IF(OR($C25="",X$7=""),"",IF(W25="",V25,INDEX(Settings_ShiftLegends,IF(MATCH(W25,Settings_ShiftLegends,0)+1&gt;COUNTA(Settings_ShiftLegends),1,MATCH(W25,Settings_ShiftLegends,0)+1))))</f>
        <v/>
      </c>
      <c r="Y25" s="82">
        <f>IF(OR($C25="",Y$7=""),"",IF(X25="",W25,INDEX(Settings_ShiftLegends,IF(MATCH(X25,Settings_ShiftLegends,0)+1&gt;COUNTA(Settings_ShiftLegends),1,MATCH(X25,Settings_ShiftLegends,0)+1))))</f>
        <v/>
      </c>
      <c r="Z25" s="82">
        <f>IF(OR($C25="",Z$7=""),"",IF(Y25="",X25,INDEX(Settings_ShiftLegends,IF(MATCH(Y25,Settings_ShiftLegends,0)+1&gt;COUNTA(Settings_ShiftLegends),1,MATCH(Y25,Settings_ShiftLegends,0)+1))))</f>
        <v/>
      </c>
      <c r="AA25" s="82">
        <f>IF(OR($C25="",AA$7=""),"",IF(Z25="",Y25,INDEX(Settings_ShiftLegends,IF(MATCH(Z25,Settings_ShiftLegends,0)+1&gt;COUNTA(Settings_ShiftLegends),1,MATCH(Z25,Settings_ShiftLegends,0)+1))))</f>
        <v/>
      </c>
      <c r="AB25" s="82">
        <f>IF(OR($C25="",AB$7=""),"",IF(AA25="",Z25,INDEX(Settings_ShiftLegends,IF(MATCH(AA25,Settings_ShiftLegends,0)+1&gt;COUNTA(Settings_ShiftLegends),1,MATCH(AA25,Settings_ShiftLegends,0)+1))))</f>
        <v/>
      </c>
      <c r="AC25" s="82">
        <f>IF(OR($C25="",AC$7=""),"",IF(AB25="",AA25,INDEX(Settings_ShiftLegends,IF(MATCH(AB25,Settings_ShiftLegends,0)+1&gt;COUNTA(Settings_ShiftLegends),1,MATCH(AB25,Settings_ShiftLegends,0)+1))))</f>
        <v/>
      </c>
      <c r="AD25" s="82">
        <f>IF(OR($C25="",AD$7=""),"",IF(AC25="",AB25,INDEX(Settings_ShiftLegends,IF(MATCH(AC25,Settings_ShiftLegends,0)+1&gt;COUNTA(Settings_ShiftLegends),1,MATCH(AC25,Settings_ShiftLegends,0)+1))))</f>
        <v/>
      </c>
      <c r="AE25" s="82">
        <f>IF(OR($C25="",AE$7=""),"",IF(AD25="",AC25,INDEX(Settings_ShiftLegends,IF(MATCH(AD25,Settings_ShiftLegends,0)+1&gt;COUNTA(Settings_ShiftLegends),1,MATCH(AD25,Settings_ShiftLegends,0)+1))))</f>
        <v/>
      </c>
      <c r="AF25" s="82">
        <f>IF(OR($C25="",AF$7=""),"",IF(AE25="",AD25,INDEX(Settings_ShiftLegends,IF(MATCH(AE25,Settings_ShiftLegends,0)+1&gt;COUNTA(Settings_ShiftLegends),1,MATCH(AE25,Settings_ShiftLegends,0)+1))))</f>
        <v/>
      </c>
      <c r="AG25" s="82">
        <f>IF(OR($C25="",AG$7=""),"",IF(AF25="",AE25,INDEX(Settings_ShiftLegends,IF(MATCH(AF25,Settings_ShiftLegends,0)+1&gt;COUNTA(Settings_ShiftLegends),1,MATCH(AF25,Settings_ShiftLegends,0)+1))))</f>
        <v/>
      </c>
      <c r="AH25" s="82">
        <f>IF(OR($C25="",AH$7=""),"",IF(AG25="",AF25,INDEX(Settings_ShiftLegends,IF(MATCH(AG25,Settings_ShiftLegends,0)+1&gt;COUNTA(Settings_ShiftLegends),1,MATCH(AG25,Settings_ShiftLegends,0)+1))))</f>
        <v/>
      </c>
      <c r="AI25" s="82">
        <f>IF(OR($C25="",AI$7=""),"",IF(AH25="",AG25,INDEX(Settings_ShiftLegends,IF(MATCH(AH25,Settings_ShiftLegends,0)+1&gt;COUNTA(Settings_ShiftLegends),1,MATCH(AH25,Settings_ShiftLegends,0)+1))))</f>
        <v/>
      </c>
      <c r="AK25" s="82">
        <f>COUNTIF($E25:$AI25,"M*")</f>
        <v/>
      </c>
      <c r="AL25" s="82">
        <f>COUNTIF($E25:$AI25,"A*")</f>
        <v/>
      </c>
      <c r="AM25" s="82">
        <f>COUNTIF($E25:$AI25,"N*")</f>
        <v/>
      </c>
      <c r="AN25" s="82">
        <f>COUNTIF($E25:$AI25,"O*")</f>
        <v/>
      </c>
    </row>
    <row r="26">
      <c r="B26" s="3" t="inlineStr">
        <is>
          <t>Employee -19</t>
        </is>
      </c>
      <c r="C26" s="3" t="inlineStr">
        <is>
          <t>A1</t>
        </is>
      </c>
      <c r="E26" s="82">
        <f>IF(OR($C26="",E$7=""),"",IF(D26="",C26,INDEX(Settings_ShiftLegends,IF(MATCH(D26,Settings_ShiftLegends,0)+1&gt;COUNTA(Settings_ShiftLegends),1,MATCH(D26,Settings_ShiftLegends,0)+1))))</f>
        <v/>
      </c>
      <c r="F26" s="82">
        <f>IF(OR($C26="",F$7=""),"",IF(E26="",D26,INDEX(Settings_ShiftLegends,IF(MATCH(E26,Settings_ShiftLegends,0)+1&gt;COUNTA(Settings_ShiftLegends),1,MATCH(E26,Settings_ShiftLegends,0)+1))))</f>
        <v/>
      </c>
      <c r="G26" s="82">
        <f>IF(OR($C26="",G$7=""),"",IF(F26="",E26,INDEX(Settings_ShiftLegends,IF(MATCH(F26,Settings_ShiftLegends,0)+1&gt;COUNTA(Settings_ShiftLegends),1,MATCH(F26,Settings_ShiftLegends,0)+1))))</f>
        <v/>
      </c>
      <c r="H26" s="82">
        <f>IF(OR($C26="",H$7=""),"",IF(G26="",F26,INDEX(Settings_ShiftLegends,IF(MATCH(G26,Settings_ShiftLegends,0)+1&gt;COUNTA(Settings_ShiftLegends),1,MATCH(G26,Settings_ShiftLegends,0)+1))))</f>
        <v/>
      </c>
      <c r="I26" s="82">
        <f>IF(OR($C26="",I$7=""),"",IF(H26="",G26,INDEX(Settings_ShiftLegends,IF(MATCH(H26,Settings_ShiftLegends,0)+1&gt;COUNTA(Settings_ShiftLegends),1,MATCH(H26,Settings_ShiftLegends,0)+1))))</f>
        <v/>
      </c>
      <c r="J26" s="82">
        <f>IF(OR($C26="",J$7=""),"",IF(I26="",H26,INDEX(Settings_ShiftLegends,IF(MATCH(I26,Settings_ShiftLegends,0)+1&gt;COUNTA(Settings_ShiftLegends),1,MATCH(I26,Settings_ShiftLegends,0)+1))))</f>
        <v/>
      </c>
      <c r="K26" s="82">
        <f>IF(OR($C26="",K$7=""),"",IF(J26="",I26,INDEX(Settings_ShiftLegends,IF(MATCH(J26,Settings_ShiftLegends,0)+1&gt;COUNTA(Settings_ShiftLegends),1,MATCH(J26,Settings_ShiftLegends,0)+1))))</f>
        <v/>
      </c>
      <c r="L26" s="82">
        <f>IF(OR($C26="",L$7=""),"",IF(K26="",J26,INDEX(Settings_ShiftLegends,IF(MATCH(K26,Settings_ShiftLegends,0)+1&gt;COUNTA(Settings_ShiftLegends),1,MATCH(K26,Settings_ShiftLegends,0)+1))))</f>
        <v/>
      </c>
      <c r="M26" s="82">
        <f>IF(OR($C26="",M$7=""),"",IF(L26="",K26,INDEX(Settings_ShiftLegends,IF(MATCH(L26,Settings_ShiftLegends,0)+1&gt;COUNTA(Settings_ShiftLegends),1,MATCH(L26,Settings_ShiftLegends,0)+1))))</f>
        <v/>
      </c>
      <c r="N26" s="82">
        <f>IF(OR($C26="",N$7=""),"",IF(M26="",L26,INDEX(Settings_ShiftLegends,IF(MATCH(M26,Settings_ShiftLegends,0)+1&gt;COUNTA(Settings_ShiftLegends),1,MATCH(M26,Settings_ShiftLegends,0)+1))))</f>
        <v/>
      </c>
      <c r="O26" s="82">
        <f>IF(OR($C26="",O$7=""),"",IF(N26="",M26,INDEX(Settings_ShiftLegends,IF(MATCH(N26,Settings_ShiftLegends,0)+1&gt;COUNTA(Settings_ShiftLegends),1,MATCH(N26,Settings_ShiftLegends,0)+1))))</f>
        <v/>
      </c>
      <c r="P26" s="82">
        <f>IF(OR($C26="",P$7=""),"",IF(O26="",N26,INDEX(Settings_ShiftLegends,IF(MATCH(O26,Settings_ShiftLegends,0)+1&gt;COUNTA(Settings_ShiftLegends),1,MATCH(O26,Settings_ShiftLegends,0)+1))))</f>
        <v/>
      </c>
      <c r="Q26" s="82">
        <f>IF(OR($C26="",Q$7=""),"",IF(P26="",O26,INDEX(Settings_ShiftLegends,IF(MATCH(P26,Settings_ShiftLegends,0)+1&gt;COUNTA(Settings_ShiftLegends),1,MATCH(P26,Settings_ShiftLegends,0)+1))))</f>
        <v/>
      </c>
      <c r="R26" s="82">
        <f>IF(OR($C26="",R$7=""),"",IF(Q26="",P26,INDEX(Settings_ShiftLegends,IF(MATCH(Q26,Settings_ShiftLegends,0)+1&gt;COUNTA(Settings_ShiftLegends),1,MATCH(Q26,Settings_ShiftLegends,0)+1))))</f>
        <v/>
      </c>
      <c r="S26" s="82">
        <f>IF(OR($C26="",S$7=""),"",IF(R26="",Q26,INDEX(Settings_ShiftLegends,IF(MATCH(R26,Settings_ShiftLegends,0)+1&gt;COUNTA(Settings_ShiftLegends),1,MATCH(R26,Settings_ShiftLegends,0)+1))))</f>
        <v/>
      </c>
      <c r="T26" s="82">
        <f>IF(OR($C26="",T$7=""),"",IF(S26="",R26,INDEX(Settings_ShiftLegends,IF(MATCH(S26,Settings_ShiftLegends,0)+1&gt;COUNTA(Settings_ShiftLegends),1,MATCH(S26,Settings_ShiftLegends,0)+1))))</f>
        <v/>
      </c>
      <c r="U26" s="82">
        <f>IF(OR($C26="",U$7=""),"",IF(T26="",S26,INDEX(Settings_ShiftLegends,IF(MATCH(T26,Settings_ShiftLegends,0)+1&gt;COUNTA(Settings_ShiftLegends),1,MATCH(T26,Settings_ShiftLegends,0)+1))))</f>
        <v/>
      </c>
      <c r="V26" s="82">
        <f>IF(OR($C26="",V$7=""),"",IF(U26="",T26,INDEX(Settings_ShiftLegends,IF(MATCH(U26,Settings_ShiftLegends,0)+1&gt;COUNTA(Settings_ShiftLegends),1,MATCH(U26,Settings_ShiftLegends,0)+1))))</f>
        <v/>
      </c>
      <c r="W26" s="82">
        <f>IF(OR($C26="",W$7=""),"",IF(V26="",U26,INDEX(Settings_ShiftLegends,IF(MATCH(V26,Settings_ShiftLegends,0)+1&gt;COUNTA(Settings_ShiftLegends),1,MATCH(V26,Settings_ShiftLegends,0)+1))))</f>
        <v/>
      </c>
      <c r="X26" s="82">
        <f>IF(OR($C26="",X$7=""),"",IF(W26="",V26,INDEX(Settings_ShiftLegends,IF(MATCH(W26,Settings_ShiftLegends,0)+1&gt;COUNTA(Settings_ShiftLegends),1,MATCH(W26,Settings_ShiftLegends,0)+1))))</f>
        <v/>
      </c>
      <c r="Y26" s="82">
        <f>IF(OR($C26="",Y$7=""),"",IF(X26="",W26,INDEX(Settings_ShiftLegends,IF(MATCH(X26,Settings_ShiftLegends,0)+1&gt;COUNTA(Settings_ShiftLegends),1,MATCH(X26,Settings_ShiftLegends,0)+1))))</f>
        <v/>
      </c>
      <c r="Z26" s="82">
        <f>IF(OR($C26="",Z$7=""),"",IF(Y26="",X26,INDEX(Settings_ShiftLegends,IF(MATCH(Y26,Settings_ShiftLegends,0)+1&gt;COUNTA(Settings_ShiftLegends),1,MATCH(Y26,Settings_ShiftLegends,0)+1))))</f>
        <v/>
      </c>
      <c r="AA26" s="82">
        <f>IF(OR($C26="",AA$7=""),"",IF(Z26="",Y26,INDEX(Settings_ShiftLegends,IF(MATCH(Z26,Settings_ShiftLegends,0)+1&gt;COUNTA(Settings_ShiftLegends),1,MATCH(Z26,Settings_ShiftLegends,0)+1))))</f>
        <v/>
      </c>
      <c r="AB26" s="82">
        <f>IF(OR($C26="",AB$7=""),"",IF(AA26="",Z26,INDEX(Settings_ShiftLegends,IF(MATCH(AA26,Settings_ShiftLegends,0)+1&gt;COUNTA(Settings_ShiftLegends),1,MATCH(AA26,Settings_ShiftLegends,0)+1))))</f>
        <v/>
      </c>
      <c r="AC26" s="82">
        <f>IF(OR($C26="",AC$7=""),"",IF(AB26="",AA26,INDEX(Settings_ShiftLegends,IF(MATCH(AB26,Settings_ShiftLegends,0)+1&gt;COUNTA(Settings_ShiftLegends),1,MATCH(AB26,Settings_ShiftLegends,0)+1))))</f>
        <v/>
      </c>
      <c r="AD26" s="82">
        <f>IF(OR($C26="",AD$7=""),"",IF(AC26="",AB26,INDEX(Settings_ShiftLegends,IF(MATCH(AC26,Settings_ShiftLegends,0)+1&gt;COUNTA(Settings_ShiftLegends),1,MATCH(AC26,Settings_ShiftLegends,0)+1))))</f>
        <v/>
      </c>
      <c r="AE26" s="82">
        <f>IF(OR($C26="",AE$7=""),"",IF(AD26="",AC26,INDEX(Settings_ShiftLegends,IF(MATCH(AD26,Settings_ShiftLegends,0)+1&gt;COUNTA(Settings_ShiftLegends),1,MATCH(AD26,Settings_ShiftLegends,0)+1))))</f>
        <v/>
      </c>
      <c r="AF26" s="82">
        <f>IF(OR($C26="",AF$7=""),"",IF(AE26="",AD26,INDEX(Settings_ShiftLegends,IF(MATCH(AE26,Settings_ShiftLegends,0)+1&gt;COUNTA(Settings_ShiftLegends),1,MATCH(AE26,Settings_ShiftLegends,0)+1))))</f>
        <v/>
      </c>
      <c r="AG26" s="82">
        <f>IF(OR($C26="",AG$7=""),"",IF(AF26="",AE26,INDEX(Settings_ShiftLegends,IF(MATCH(AF26,Settings_ShiftLegends,0)+1&gt;COUNTA(Settings_ShiftLegends),1,MATCH(AF26,Settings_ShiftLegends,0)+1))))</f>
        <v/>
      </c>
      <c r="AH26" s="82">
        <f>IF(OR($C26="",AH$7=""),"",IF(AG26="",AF26,INDEX(Settings_ShiftLegends,IF(MATCH(AG26,Settings_ShiftLegends,0)+1&gt;COUNTA(Settings_ShiftLegends),1,MATCH(AG26,Settings_ShiftLegends,0)+1))))</f>
        <v/>
      </c>
      <c r="AI26" s="82">
        <f>IF(OR($C26="",AI$7=""),"",IF(AH26="",AG26,INDEX(Settings_ShiftLegends,IF(MATCH(AH26,Settings_ShiftLegends,0)+1&gt;COUNTA(Settings_ShiftLegends),1,MATCH(AH26,Settings_ShiftLegends,0)+1))))</f>
        <v/>
      </c>
      <c r="AK26" s="82">
        <f>COUNTIF($E26:$AI26,"M*")</f>
        <v/>
      </c>
      <c r="AL26" s="82">
        <f>COUNTIF($E26:$AI26,"A*")</f>
        <v/>
      </c>
      <c r="AM26" s="82">
        <f>COUNTIF($E26:$AI26,"N*")</f>
        <v/>
      </c>
      <c r="AN26" s="82">
        <f>COUNTIF($E26:$AI26,"O*")</f>
        <v/>
      </c>
    </row>
    <row r="27">
      <c r="B27" s="3" t="inlineStr">
        <is>
          <t>Employee -20</t>
        </is>
      </c>
      <c r="C27" s="3" t="inlineStr">
        <is>
          <t>N1</t>
        </is>
      </c>
      <c r="E27" s="82">
        <f>IF(OR($C27="",E$7=""),"",IF(D27="",C27,INDEX(Settings_ShiftLegends,IF(MATCH(D27,Settings_ShiftLegends,0)+1&gt;COUNTA(Settings_ShiftLegends),1,MATCH(D27,Settings_ShiftLegends,0)+1))))</f>
        <v/>
      </c>
      <c r="F27" s="82">
        <f>IF(OR($C27="",F$7=""),"",IF(E27="",D27,INDEX(Settings_ShiftLegends,IF(MATCH(E27,Settings_ShiftLegends,0)+1&gt;COUNTA(Settings_ShiftLegends),1,MATCH(E27,Settings_ShiftLegends,0)+1))))</f>
        <v/>
      </c>
      <c r="G27" s="82">
        <f>IF(OR($C27="",G$7=""),"",IF(F27="",E27,INDEX(Settings_ShiftLegends,IF(MATCH(F27,Settings_ShiftLegends,0)+1&gt;COUNTA(Settings_ShiftLegends),1,MATCH(F27,Settings_ShiftLegends,0)+1))))</f>
        <v/>
      </c>
      <c r="H27" s="82">
        <f>IF(OR($C27="",H$7=""),"",IF(G27="",F27,INDEX(Settings_ShiftLegends,IF(MATCH(G27,Settings_ShiftLegends,0)+1&gt;COUNTA(Settings_ShiftLegends),1,MATCH(G27,Settings_ShiftLegends,0)+1))))</f>
        <v/>
      </c>
      <c r="I27" s="82">
        <f>IF(OR($C27="",I$7=""),"",IF(H27="",G27,INDEX(Settings_ShiftLegends,IF(MATCH(H27,Settings_ShiftLegends,0)+1&gt;COUNTA(Settings_ShiftLegends),1,MATCH(H27,Settings_ShiftLegends,0)+1))))</f>
        <v/>
      </c>
      <c r="J27" s="82">
        <f>IF(OR($C27="",J$7=""),"",IF(I27="",H27,INDEX(Settings_ShiftLegends,IF(MATCH(I27,Settings_ShiftLegends,0)+1&gt;COUNTA(Settings_ShiftLegends),1,MATCH(I27,Settings_ShiftLegends,0)+1))))</f>
        <v/>
      </c>
      <c r="K27" s="82">
        <f>IF(OR($C27="",K$7=""),"",IF(J27="",I27,INDEX(Settings_ShiftLegends,IF(MATCH(J27,Settings_ShiftLegends,0)+1&gt;COUNTA(Settings_ShiftLegends),1,MATCH(J27,Settings_ShiftLegends,0)+1))))</f>
        <v/>
      </c>
      <c r="L27" s="82">
        <f>IF(OR($C27="",L$7=""),"",IF(K27="",J27,INDEX(Settings_ShiftLegends,IF(MATCH(K27,Settings_ShiftLegends,0)+1&gt;COUNTA(Settings_ShiftLegends),1,MATCH(K27,Settings_ShiftLegends,0)+1))))</f>
        <v/>
      </c>
      <c r="M27" s="82">
        <f>IF(OR($C27="",M$7=""),"",IF(L27="",K27,INDEX(Settings_ShiftLegends,IF(MATCH(L27,Settings_ShiftLegends,0)+1&gt;COUNTA(Settings_ShiftLegends),1,MATCH(L27,Settings_ShiftLegends,0)+1))))</f>
        <v/>
      </c>
      <c r="N27" s="82">
        <f>IF(OR($C27="",N$7=""),"",IF(M27="",L27,INDEX(Settings_ShiftLegends,IF(MATCH(M27,Settings_ShiftLegends,0)+1&gt;COUNTA(Settings_ShiftLegends),1,MATCH(M27,Settings_ShiftLegends,0)+1))))</f>
        <v/>
      </c>
      <c r="O27" s="82">
        <f>IF(OR($C27="",O$7=""),"",IF(N27="",M27,INDEX(Settings_ShiftLegends,IF(MATCH(N27,Settings_ShiftLegends,0)+1&gt;COUNTA(Settings_ShiftLegends),1,MATCH(N27,Settings_ShiftLegends,0)+1))))</f>
        <v/>
      </c>
      <c r="P27" s="82">
        <f>IF(OR($C27="",P$7=""),"",IF(O27="",N27,INDEX(Settings_ShiftLegends,IF(MATCH(O27,Settings_ShiftLegends,0)+1&gt;COUNTA(Settings_ShiftLegends),1,MATCH(O27,Settings_ShiftLegends,0)+1))))</f>
        <v/>
      </c>
      <c r="Q27" s="82">
        <f>IF(OR($C27="",Q$7=""),"",IF(P27="",O27,INDEX(Settings_ShiftLegends,IF(MATCH(P27,Settings_ShiftLegends,0)+1&gt;COUNTA(Settings_ShiftLegends),1,MATCH(P27,Settings_ShiftLegends,0)+1))))</f>
        <v/>
      </c>
      <c r="R27" s="82">
        <f>IF(OR($C27="",R$7=""),"",IF(Q27="",P27,INDEX(Settings_ShiftLegends,IF(MATCH(Q27,Settings_ShiftLegends,0)+1&gt;COUNTA(Settings_ShiftLegends),1,MATCH(Q27,Settings_ShiftLegends,0)+1))))</f>
        <v/>
      </c>
      <c r="S27" s="82">
        <f>IF(OR($C27="",S$7=""),"",IF(R27="",Q27,INDEX(Settings_ShiftLegends,IF(MATCH(R27,Settings_ShiftLegends,0)+1&gt;COUNTA(Settings_ShiftLegends),1,MATCH(R27,Settings_ShiftLegends,0)+1))))</f>
        <v/>
      </c>
      <c r="T27" s="82">
        <f>IF(OR($C27="",T$7=""),"",IF(S27="",R27,INDEX(Settings_ShiftLegends,IF(MATCH(S27,Settings_ShiftLegends,0)+1&gt;COUNTA(Settings_ShiftLegends),1,MATCH(S27,Settings_ShiftLegends,0)+1))))</f>
        <v/>
      </c>
      <c r="U27" s="82">
        <f>IF(OR($C27="",U$7=""),"",IF(T27="",S27,INDEX(Settings_ShiftLegends,IF(MATCH(T27,Settings_ShiftLegends,0)+1&gt;COUNTA(Settings_ShiftLegends),1,MATCH(T27,Settings_ShiftLegends,0)+1))))</f>
        <v/>
      </c>
      <c r="V27" s="82">
        <f>IF(OR($C27="",V$7=""),"",IF(U27="",T27,INDEX(Settings_ShiftLegends,IF(MATCH(U27,Settings_ShiftLegends,0)+1&gt;COUNTA(Settings_ShiftLegends),1,MATCH(U27,Settings_ShiftLegends,0)+1))))</f>
        <v/>
      </c>
      <c r="W27" s="82">
        <f>IF(OR($C27="",W$7=""),"",IF(V27="",U27,INDEX(Settings_ShiftLegends,IF(MATCH(V27,Settings_ShiftLegends,0)+1&gt;COUNTA(Settings_ShiftLegends),1,MATCH(V27,Settings_ShiftLegends,0)+1))))</f>
        <v/>
      </c>
      <c r="X27" s="82">
        <f>IF(OR($C27="",X$7=""),"",IF(W27="",V27,INDEX(Settings_ShiftLegends,IF(MATCH(W27,Settings_ShiftLegends,0)+1&gt;COUNTA(Settings_ShiftLegends),1,MATCH(W27,Settings_ShiftLegends,0)+1))))</f>
        <v/>
      </c>
      <c r="Y27" s="82">
        <f>IF(OR($C27="",Y$7=""),"",IF(X27="",W27,INDEX(Settings_ShiftLegends,IF(MATCH(X27,Settings_ShiftLegends,0)+1&gt;COUNTA(Settings_ShiftLegends),1,MATCH(X27,Settings_ShiftLegends,0)+1))))</f>
        <v/>
      </c>
      <c r="Z27" s="82">
        <f>IF(OR($C27="",Z$7=""),"",IF(Y27="",X27,INDEX(Settings_ShiftLegends,IF(MATCH(Y27,Settings_ShiftLegends,0)+1&gt;COUNTA(Settings_ShiftLegends),1,MATCH(Y27,Settings_ShiftLegends,0)+1))))</f>
        <v/>
      </c>
      <c r="AA27" s="82">
        <f>IF(OR($C27="",AA$7=""),"",IF(Z27="",Y27,INDEX(Settings_ShiftLegends,IF(MATCH(Z27,Settings_ShiftLegends,0)+1&gt;COUNTA(Settings_ShiftLegends),1,MATCH(Z27,Settings_ShiftLegends,0)+1))))</f>
        <v/>
      </c>
      <c r="AB27" s="82">
        <f>IF(OR($C27="",AB$7=""),"",IF(AA27="",Z27,INDEX(Settings_ShiftLegends,IF(MATCH(AA27,Settings_ShiftLegends,0)+1&gt;COUNTA(Settings_ShiftLegends),1,MATCH(AA27,Settings_ShiftLegends,0)+1))))</f>
        <v/>
      </c>
      <c r="AC27" s="82">
        <f>IF(OR($C27="",AC$7=""),"",IF(AB27="",AA27,INDEX(Settings_ShiftLegends,IF(MATCH(AB27,Settings_ShiftLegends,0)+1&gt;COUNTA(Settings_ShiftLegends),1,MATCH(AB27,Settings_ShiftLegends,0)+1))))</f>
        <v/>
      </c>
      <c r="AD27" s="82">
        <f>IF(OR($C27="",AD$7=""),"",IF(AC27="",AB27,INDEX(Settings_ShiftLegends,IF(MATCH(AC27,Settings_ShiftLegends,0)+1&gt;COUNTA(Settings_ShiftLegends),1,MATCH(AC27,Settings_ShiftLegends,0)+1))))</f>
        <v/>
      </c>
      <c r="AE27" s="82">
        <f>IF(OR($C27="",AE$7=""),"",IF(AD27="",AC27,INDEX(Settings_ShiftLegends,IF(MATCH(AD27,Settings_ShiftLegends,0)+1&gt;COUNTA(Settings_ShiftLegends),1,MATCH(AD27,Settings_ShiftLegends,0)+1))))</f>
        <v/>
      </c>
      <c r="AF27" s="82">
        <f>IF(OR($C27="",AF$7=""),"",IF(AE27="",AD27,INDEX(Settings_ShiftLegends,IF(MATCH(AE27,Settings_ShiftLegends,0)+1&gt;COUNTA(Settings_ShiftLegends),1,MATCH(AE27,Settings_ShiftLegends,0)+1))))</f>
        <v/>
      </c>
      <c r="AG27" s="82">
        <f>IF(OR($C27="",AG$7=""),"",IF(AF27="",AE27,INDEX(Settings_ShiftLegends,IF(MATCH(AF27,Settings_ShiftLegends,0)+1&gt;COUNTA(Settings_ShiftLegends),1,MATCH(AF27,Settings_ShiftLegends,0)+1))))</f>
        <v/>
      </c>
      <c r="AH27" s="82">
        <f>IF(OR($C27="",AH$7=""),"",IF(AG27="",AF27,INDEX(Settings_ShiftLegends,IF(MATCH(AG27,Settings_ShiftLegends,0)+1&gt;COUNTA(Settings_ShiftLegends),1,MATCH(AG27,Settings_ShiftLegends,0)+1))))</f>
        <v/>
      </c>
      <c r="AI27" s="82">
        <f>IF(OR($C27="",AI$7=""),"",IF(AH27="",AG27,INDEX(Settings_ShiftLegends,IF(MATCH(AH27,Settings_ShiftLegends,0)+1&gt;COUNTA(Settings_ShiftLegends),1,MATCH(AH27,Settings_ShiftLegends,0)+1))))</f>
        <v/>
      </c>
      <c r="AK27" s="82">
        <f>COUNTIF($E27:$AI27,"M*")</f>
        <v/>
      </c>
      <c r="AL27" s="82">
        <f>COUNTIF($E27:$AI27,"A*")</f>
        <v/>
      </c>
      <c r="AM27" s="82">
        <f>COUNTIF($E27:$AI27,"N*")</f>
        <v/>
      </c>
      <c r="AN27" s="82">
        <f>COUNTIF($E27:$AI27,"O*")</f>
        <v/>
      </c>
    </row>
    <row r="28">
      <c r="B28" s="3" t="inlineStr">
        <is>
          <t>Employee -21</t>
        </is>
      </c>
      <c r="C28" s="3" t="inlineStr">
        <is>
          <t>N2</t>
        </is>
      </c>
      <c r="E28" s="82">
        <f>IF(OR($C28="",E$7=""),"",IF(D28="",C28,INDEX(Settings_ShiftLegends,IF(MATCH(D28,Settings_ShiftLegends,0)+1&gt;COUNTA(Settings_ShiftLegends),1,MATCH(D28,Settings_ShiftLegends,0)+1))))</f>
        <v/>
      </c>
      <c r="F28" s="82">
        <f>IF(OR($C28="",F$7=""),"",IF(E28="",D28,INDEX(Settings_ShiftLegends,IF(MATCH(E28,Settings_ShiftLegends,0)+1&gt;COUNTA(Settings_ShiftLegends),1,MATCH(E28,Settings_ShiftLegends,0)+1))))</f>
        <v/>
      </c>
      <c r="G28" s="82">
        <f>IF(OR($C28="",G$7=""),"",IF(F28="",E28,INDEX(Settings_ShiftLegends,IF(MATCH(F28,Settings_ShiftLegends,0)+1&gt;COUNTA(Settings_ShiftLegends),1,MATCH(F28,Settings_ShiftLegends,0)+1))))</f>
        <v/>
      </c>
      <c r="H28" s="82">
        <f>IF(OR($C28="",H$7=""),"",IF(G28="",F28,INDEX(Settings_ShiftLegends,IF(MATCH(G28,Settings_ShiftLegends,0)+1&gt;COUNTA(Settings_ShiftLegends),1,MATCH(G28,Settings_ShiftLegends,0)+1))))</f>
        <v/>
      </c>
      <c r="I28" s="82">
        <f>IF(OR($C28="",I$7=""),"",IF(H28="",G28,INDEX(Settings_ShiftLegends,IF(MATCH(H28,Settings_ShiftLegends,0)+1&gt;COUNTA(Settings_ShiftLegends),1,MATCH(H28,Settings_ShiftLegends,0)+1))))</f>
        <v/>
      </c>
      <c r="J28" s="82">
        <f>IF(OR($C28="",J$7=""),"",IF(I28="",H28,INDEX(Settings_ShiftLegends,IF(MATCH(I28,Settings_ShiftLegends,0)+1&gt;COUNTA(Settings_ShiftLegends),1,MATCH(I28,Settings_ShiftLegends,0)+1))))</f>
        <v/>
      </c>
      <c r="K28" s="82">
        <f>IF(OR($C28="",K$7=""),"",IF(J28="",I28,INDEX(Settings_ShiftLegends,IF(MATCH(J28,Settings_ShiftLegends,0)+1&gt;COUNTA(Settings_ShiftLegends),1,MATCH(J28,Settings_ShiftLegends,0)+1))))</f>
        <v/>
      </c>
      <c r="L28" s="82">
        <f>IF(OR($C28="",L$7=""),"",IF(K28="",J28,INDEX(Settings_ShiftLegends,IF(MATCH(K28,Settings_ShiftLegends,0)+1&gt;COUNTA(Settings_ShiftLegends),1,MATCH(K28,Settings_ShiftLegends,0)+1))))</f>
        <v/>
      </c>
      <c r="M28" s="82">
        <f>IF(OR($C28="",M$7=""),"",IF(L28="",K28,INDEX(Settings_ShiftLegends,IF(MATCH(L28,Settings_ShiftLegends,0)+1&gt;COUNTA(Settings_ShiftLegends),1,MATCH(L28,Settings_ShiftLegends,0)+1))))</f>
        <v/>
      </c>
      <c r="N28" s="82">
        <f>IF(OR($C28="",N$7=""),"",IF(M28="",L28,INDEX(Settings_ShiftLegends,IF(MATCH(M28,Settings_ShiftLegends,0)+1&gt;COUNTA(Settings_ShiftLegends),1,MATCH(M28,Settings_ShiftLegends,0)+1))))</f>
        <v/>
      </c>
      <c r="O28" s="82">
        <f>IF(OR($C28="",O$7=""),"",IF(N28="",M28,INDEX(Settings_ShiftLegends,IF(MATCH(N28,Settings_ShiftLegends,0)+1&gt;COUNTA(Settings_ShiftLegends),1,MATCH(N28,Settings_ShiftLegends,0)+1))))</f>
        <v/>
      </c>
      <c r="P28" s="82">
        <f>IF(OR($C28="",P$7=""),"",IF(O28="",N28,INDEX(Settings_ShiftLegends,IF(MATCH(O28,Settings_ShiftLegends,0)+1&gt;COUNTA(Settings_ShiftLegends),1,MATCH(O28,Settings_ShiftLegends,0)+1))))</f>
        <v/>
      </c>
      <c r="Q28" s="82">
        <f>IF(OR($C28="",Q$7=""),"",IF(P28="",O28,INDEX(Settings_ShiftLegends,IF(MATCH(P28,Settings_ShiftLegends,0)+1&gt;COUNTA(Settings_ShiftLegends),1,MATCH(P28,Settings_ShiftLegends,0)+1))))</f>
        <v/>
      </c>
      <c r="R28" s="82">
        <f>IF(OR($C28="",R$7=""),"",IF(Q28="",P28,INDEX(Settings_ShiftLegends,IF(MATCH(Q28,Settings_ShiftLegends,0)+1&gt;COUNTA(Settings_ShiftLegends),1,MATCH(Q28,Settings_ShiftLegends,0)+1))))</f>
        <v/>
      </c>
      <c r="S28" s="82">
        <f>IF(OR($C28="",S$7=""),"",IF(R28="",Q28,INDEX(Settings_ShiftLegends,IF(MATCH(R28,Settings_ShiftLegends,0)+1&gt;COUNTA(Settings_ShiftLegends),1,MATCH(R28,Settings_ShiftLegends,0)+1))))</f>
        <v/>
      </c>
      <c r="T28" s="82">
        <f>IF(OR($C28="",T$7=""),"",IF(S28="",R28,INDEX(Settings_ShiftLegends,IF(MATCH(S28,Settings_ShiftLegends,0)+1&gt;COUNTA(Settings_ShiftLegends),1,MATCH(S28,Settings_ShiftLegends,0)+1))))</f>
        <v/>
      </c>
      <c r="U28" s="82">
        <f>IF(OR($C28="",U$7=""),"",IF(T28="",S28,INDEX(Settings_ShiftLegends,IF(MATCH(T28,Settings_ShiftLegends,0)+1&gt;COUNTA(Settings_ShiftLegends),1,MATCH(T28,Settings_ShiftLegends,0)+1))))</f>
        <v/>
      </c>
      <c r="V28" s="82">
        <f>IF(OR($C28="",V$7=""),"",IF(U28="",T28,INDEX(Settings_ShiftLegends,IF(MATCH(U28,Settings_ShiftLegends,0)+1&gt;COUNTA(Settings_ShiftLegends),1,MATCH(U28,Settings_ShiftLegends,0)+1))))</f>
        <v/>
      </c>
      <c r="W28" s="82">
        <f>IF(OR($C28="",W$7=""),"",IF(V28="",U28,INDEX(Settings_ShiftLegends,IF(MATCH(V28,Settings_ShiftLegends,0)+1&gt;COUNTA(Settings_ShiftLegends),1,MATCH(V28,Settings_ShiftLegends,0)+1))))</f>
        <v/>
      </c>
      <c r="X28" s="82">
        <f>IF(OR($C28="",X$7=""),"",IF(W28="",V28,INDEX(Settings_ShiftLegends,IF(MATCH(W28,Settings_ShiftLegends,0)+1&gt;COUNTA(Settings_ShiftLegends),1,MATCH(W28,Settings_ShiftLegends,0)+1))))</f>
        <v/>
      </c>
      <c r="Y28" s="82">
        <f>IF(OR($C28="",Y$7=""),"",IF(X28="",W28,INDEX(Settings_ShiftLegends,IF(MATCH(X28,Settings_ShiftLegends,0)+1&gt;COUNTA(Settings_ShiftLegends),1,MATCH(X28,Settings_ShiftLegends,0)+1))))</f>
        <v/>
      </c>
      <c r="Z28" s="82">
        <f>IF(OR($C28="",Z$7=""),"",IF(Y28="",X28,INDEX(Settings_ShiftLegends,IF(MATCH(Y28,Settings_ShiftLegends,0)+1&gt;COUNTA(Settings_ShiftLegends),1,MATCH(Y28,Settings_ShiftLegends,0)+1))))</f>
        <v/>
      </c>
      <c r="AA28" s="82">
        <f>IF(OR($C28="",AA$7=""),"",IF(Z28="",Y28,INDEX(Settings_ShiftLegends,IF(MATCH(Z28,Settings_ShiftLegends,0)+1&gt;COUNTA(Settings_ShiftLegends),1,MATCH(Z28,Settings_ShiftLegends,0)+1))))</f>
        <v/>
      </c>
      <c r="AB28" s="82">
        <f>IF(OR($C28="",AB$7=""),"",IF(AA28="",Z28,INDEX(Settings_ShiftLegends,IF(MATCH(AA28,Settings_ShiftLegends,0)+1&gt;COUNTA(Settings_ShiftLegends),1,MATCH(AA28,Settings_ShiftLegends,0)+1))))</f>
        <v/>
      </c>
      <c r="AC28" s="82">
        <f>IF(OR($C28="",AC$7=""),"",IF(AB28="",AA28,INDEX(Settings_ShiftLegends,IF(MATCH(AB28,Settings_ShiftLegends,0)+1&gt;COUNTA(Settings_ShiftLegends),1,MATCH(AB28,Settings_ShiftLegends,0)+1))))</f>
        <v/>
      </c>
      <c r="AD28" s="82">
        <f>IF(OR($C28="",AD$7=""),"",IF(AC28="",AB28,INDEX(Settings_ShiftLegends,IF(MATCH(AC28,Settings_ShiftLegends,0)+1&gt;COUNTA(Settings_ShiftLegends),1,MATCH(AC28,Settings_ShiftLegends,0)+1))))</f>
        <v/>
      </c>
      <c r="AE28" s="82">
        <f>IF(OR($C28="",AE$7=""),"",IF(AD28="",AC28,INDEX(Settings_ShiftLegends,IF(MATCH(AD28,Settings_ShiftLegends,0)+1&gt;COUNTA(Settings_ShiftLegends),1,MATCH(AD28,Settings_ShiftLegends,0)+1))))</f>
        <v/>
      </c>
      <c r="AF28" s="82">
        <f>IF(OR($C28="",AF$7=""),"",IF(AE28="",AD28,INDEX(Settings_ShiftLegends,IF(MATCH(AE28,Settings_ShiftLegends,0)+1&gt;COUNTA(Settings_ShiftLegends),1,MATCH(AE28,Settings_ShiftLegends,0)+1))))</f>
        <v/>
      </c>
      <c r="AG28" s="82">
        <f>IF(OR($C28="",AG$7=""),"",IF(AF28="",AE28,INDEX(Settings_ShiftLegends,IF(MATCH(AF28,Settings_ShiftLegends,0)+1&gt;COUNTA(Settings_ShiftLegends),1,MATCH(AF28,Settings_ShiftLegends,0)+1))))</f>
        <v/>
      </c>
      <c r="AH28" s="82">
        <f>IF(OR($C28="",AH$7=""),"",IF(AG28="",AF28,INDEX(Settings_ShiftLegends,IF(MATCH(AG28,Settings_ShiftLegends,0)+1&gt;COUNTA(Settings_ShiftLegends),1,MATCH(AG28,Settings_ShiftLegends,0)+1))))</f>
        <v/>
      </c>
      <c r="AI28" s="82">
        <f>IF(OR($C28="",AI$7=""),"",IF(AH28="",AG28,INDEX(Settings_ShiftLegends,IF(MATCH(AH28,Settings_ShiftLegends,0)+1&gt;COUNTA(Settings_ShiftLegends),1,MATCH(AH28,Settings_ShiftLegends,0)+1))))</f>
        <v/>
      </c>
      <c r="AK28" s="82">
        <f>COUNTIF($E28:$AI28,"M*")</f>
        <v/>
      </c>
      <c r="AL28" s="82">
        <f>COUNTIF($E28:$AI28,"A*")</f>
        <v/>
      </c>
      <c r="AM28" s="82">
        <f>COUNTIF($E28:$AI28,"N*")</f>
        <v/>
      </c>
      <c r="AN28" s="82">
        <f>COUNTIF($E28:$AI28,"O*")</f>
        <v/>
      </c>
    </row>
    <row r="29">
      <c r="B29" s="3" t="inlineStr">
        <is>
          <t>Employee -22</t>
        </is>
      </c>
      <c r="C29" s="3" t="inlineStr">
        <is>
          <t>O1</t>
        </is>
      </c>
      <c r="E29" s="82">
        <f>IF(OR($C29="",E$7=""),"",IF(D29="",C29,INDEX(Settings_ShiftLegends,IF(MATCH(D29,Settings_ShiftLegends,0)+1&gt;COUNTA(Settings_ShiftLegends),1,MATCH(D29,Settings_ShiftLegends,0)+1))))</f>
        <v/>
      </c>
      <c r="F29" s="82">
        <f>IF(OR($C29="",F$7=""),"",IF(E29="",D29,INDEX(Settings_ShiftLegends,IF(MATCH(E29,Settings_ShiftLegends,0)+1&gt;COUNTA(Settings_ShiftLegends),1,MATCH(E29,Settings_ShiftLegends,0)+1))))</f>
        <v/>
      </c>
      <c r="G29" s="82">
        <f>IF(OR($C29="",G$7=""),"",IF(F29="",E29,INDEX(Settings_ShiftLegends,IF(MATCH(F29,Settings_ShiftLegends,0)+1&gt;COUNTA(Settings_ShiftLegends),1,MATCH(F29,Settings_ShiftLegends,0)+1))))</f>
        <v/>
      </c>
      <c r="H29" s="82">
        <f>IF(OR($C29="",H$7=""),"",IF(G29="",F29,INDEX(Settings_ShiftLegends,IF(MATCH(G29,Settings_ShiftLegends,0)+1&gt;COUNTA(Settings_ShiftLegends),1,MATCH(G29,Settings_ShiftLegends,0)+1))))</f>
        <v/>
      </c>
      <c r="I29" s="82">
        <f>IF(OR($C29="",I$7=""),"",IF(H29="",G29,INDEX(Settings_ShiftLegends,IF(MATCH(H29,Settings_ShiftLegends,0)+1&gt;COUNTA(Settings_ShiftLegends),1,MATCH(H29,Settings_ShiftLegends,0)+1))))</f>
        <v/>
      </c>
      <c r="J29" s="82">
        <f>IF(OR($C29="",J$7=""),"",IF(I29="",H29,INDEX(Settings_ShiftLegends,IF(MATCH(I29,Settings_ShiftLegends,0)+1&gt;COUNTA(Settings_ShiftLegends),1,MATCH(I29,Settings_ShiftLegends,0)+1))))</f>
        <v/>
      </c>
      <c r="K29" s="82">
        <f>IF(OR($C29="",K$7=""),"",IF(J29="",I29,INDEX(Settings_ShiftLegends,IF(MATCH(J29,Settings_ShiftLegends,0)+1&gt;COUNTA(Settings_ShiftLegends),1,MATCH(J29,Settings_ShiftLegends,0)+1))))</f>
        <v/>
      </c>
      <c r="L29" s="82">
        <f>IF(OR($C29="",L$7=""),"",IF(K29="",J29,INDEX(Settings_ShiftLegends,IF(MATCH(K29,Settings_ShiftLegends,0)+1&gt;COUNTA(Settings_ShiftLegends),1,MATCH(K29,Settings_ShiftLegends,0)+1))))</f>
        <v/>
      </c>
      <c r="M29" s="82">
        <f>IF(OR($C29="",M$7=""),"",IF(L29="",K29,INDEX(Settings_ShiftLegends,IF(MATCH(L29,Settings_ShiftLegends,0)+1&gt;COUNTA(Settings_ShiftLegends),1,MATCH(L29,Settings_ShiftLegends,0)+1))))</f>
        <v/>
      </c>
      <c r="N29" s="82">
        <f>IF(OR($C29="",N$7=""),"",IF(M29="",L29,INDEX(Settings_ShiftLegends,IF(MATCH(M29,Settings_ShiftLegends,0)+1&gt;COUNTA(Settings_ShiftLegends),1,MATCH(M29,Settings_ShiftLegends,0)+1))))</f>
        <v/>
      </c>
      <c r="O29" s="82">
        <f>IF(OR($C29="",O$7=""),"",IF(N29="",M29,INDEX(Settings_ShiftLegends,IF(MATCH(N29,Settings_ShiftLegends,0)+1&gt;COUNTA(Settings_ShiftLegends),1,MATCH(N29,Settings_ShiftLegends,0)+1))))</f>
        <v/>
      </c>
      <c r="P29" s="82">
        <f>IF(OR($C29="",P$7=""),"",IF(O29="",N29,INDEX(Settings_ShiftLegends,IF(MATCH(O29,Settings_ShiftLegends,0)+1&gt;COUNTA(Settings_ShiftLegends),1,MATCH(O29,Settings_ShiftLegends,0)+1))))</f>
        <v/>
      </c>
      <c r="Q29" s="82">
        <f>IF(OR($C29="",Q$7=""),"",IF(P29="",O29,INDEX(Settings_ShiftLegends,IF(MATCH(P29,Settings_ShiftLegends,0)+1&gt;COUNTA(Settings_ShiftLegends),1,MATCH(P29,Settings_ShiftLegends,0)+1))))</f>
        <v/>
      </c>
      <c r="R29" s="82">
        <f>IF(OR($C29="",R$7=""),"",IF(Q29="",P29,INDEX(Settings_ShiftLegends,IF(MATCH(Q29,Settings_ShiftLegends,0)+1&gt;COUNTA(Settings_ShiftLegends),1,MATCH(Q29,Settings_ShiftLegends,0)+1))))</f>
        <v/>
      </c>
      <c r="S29" s="82">
        <f>IF(OR($C29="",S$7=""),"",IF(R29="",Q29,INDEX(Settings_ShiftLegends,IF(MATCH(R29,Settings_ShiftLegends,0)+1&gt;COUNTA(Settings_ShiftLegends),1,MATCH(R29,Settings_ShiftLegends,0)+1))))</f>
        <v/>
      </c>
      <c r="T29" s="82">
        <f>IF(OR($C29="",T$7=""),"",IF(S29="",R29,INDEX(Settings_ShiftLegends,IF(MATCH(S29,Settings_ShiftLegends,0)+1&gt;COUNTA(Settings_ShiftLegends),1,MATCH(S29,Settings_ShiftLegends,0)+1))))</f>
        <v/>
      </c>
      <c r="U29" s="82">
        <f>IF(OR($C29="",U$7=""),"",IF(T29="",S29,INDEX(Settings_ShiftLegends,IF(MATCH(T29,Settings_ShiftLegends,0)+1&gt;COUNTA(Settings_ShiftLegends),1,MATCH(T29,Settings_ShiftLegends,0)+1))))</f>
        <v/>
      </c>
      <c r="V29" s="82">
        <f>IF(OR($C29="",V$7=""),"",IF(U29="",T29,INDEX(Settings_ShiftLegends,IF(MATCH(U29,Settings_ShiftLegends,0)+1&gt;COUNTA(Settings_ShiftLegends),1,MATCH(U29,Settings_ShiftLegends,0)+1))))</f>
        <v/>
      </c>
      <c r="W29" s="82">
        <f>IF(OR($C29="",W$7=""),"",IF(V29="",U29,INDEX(Settings_ShiftLegends,IF(MATCH(V29,Settings_ShiftLegends,0)+1&gt;COUNTA(Settings_ShiftLegends),1,MATCH(V29,Settings_ShiftLegends,0)+1))))</f>
        <v/>
      </c>
      <c r="X29" s="82">
        <f>IF(OR($C29="",X$7=""),"",IF(W29="",V29,INDEX(Settings_ShiftLegends,IF(MATCH(W29,Settings_ShiftLegends,0)+1&gt;COUNTA(Settings_ShiftLegends),1,MATCH(W29,Settings_ShiftLegends,0)+1))))</f>
        <v/>
      </c>
      <c r="Y29" s="82">
        <f>IF(OR($C29="",Y$7=""),"",IF(X29="",W29,INDEX(Settings_ShiftLegends,IF(MATCH(X29,Settings_ShiftLegends,0)+1&gt;COUNTA(Settings_ShiftLegends),1,MATCH(X29,Settings_ShiftLegends,0)+1))))</f>
        <v/>
      </c>
      <c r="Z29" s="82">
        <f>IF(OR($C29="",Z$7=""),"",IF(Y29="",X29,INDEX(Settings_ShiftLegends,IF(MATCH(Y29,Settings_ShiftLegends,0)+1&gt;COUNTA(Settings_ShiftLegends),1,MATCH(Y29,Settings_ShiftLegends,0)+1))))</f>
        <v/>
      </c>
      <c r="AA29" s="82">
        <f>IF(OR($C29="",AA$7=""),"",IF(Z29="",Y29,INDEX(Settings_ShiftLegends,IF(MATCH(Z29,Settings_ShiftLegends,0)+1&gt;COUNTA(Settings_ShiftLegends),1,MATCH(Z29,Settings_ShiftLegends,0)+1))))</f>
        <v/>
      </c>
      <c r="AB29" s="82">
        <f>IF(OR($C29="",AB$7=""),"",IF(AA29="",Z29,INDEX(Settings_ShiftLegends,IF(MATCH(AA29,Settings_ShiftLegends,0)+1&gt;COUNTA(Settings_ShiftLegends),1,MATCH(AA29,Settings_ShiftLegends,0)+1))))</f>
        <v/>
      </c>
      <c r="AC29" s="82">
        <f>IF(OR($C29="",AC$7=""),"",IF(AB29="",AA29,INDEX(Settings_ShiftLegends,IF(MATCH(AB29,Settings_ShiftLegends,0)+1&gt;COUNTA(Settings_ShiftLegends),1,MATCH(AB29,Settings_ShiftLegends,0)+1))))</f>
        <v/>
      </c>
      <c r="AD29" s="82">
        <f>IF(OR($C29="",AD$7=""),"",IF(AC29="",AB29,INDEX(Settings_ShiftLegends,IF(MATCH(AC29,Settings_ShiftLegends,0)+1&gt;COUNTA(Settings_ShiftLegends),1,MATCH(AC29,Settings_ShiftLegends,0)+1))))</f>
        <v/>
      </c>
      <c r="AE29" s="82">
        <f>IF(OR($C29="",AE$7=""),"",IF(AD29="",AC29,INDEX(Settings_ShiftLegends,IF(MATCH(AD29,Settings_ShiftLegends,0)+1&gt;COUNTA(Settings_ShiftLegends),1,MATCH(AD29,Settings_ShiftLegends,0)+1))))</f>
        <v/>
      </c>
      <c r="AF29" s="82">
        <f>IF(OR($C29="",AF$7=""),"",IF(AE29="",AD29,INDEX(Settings_ShiftLegends,IF(MATCH(AE29,Settings_ShiftLegends,0)+1&gt;COUNTA(Settings_ShiftLegends),1,MATCH(AE29,Settings_ShiftLegends,0)+1))))</f>
        <v/>
      </c>
      <c r="AG29" s="82">
        <f>IF(OR($C29="",AG$7=""),"",IF(AF29="",AE29,INDEX(Settings_ShiftLegends,IF(MATCH(AF29,Settings_ShiftLegends,0)+1&gt;COUNTA(Settings_ShiftLegends),1,MATCH(AF29,Settings_ShiftLegends,0)+1))))</f>
        <v/>
      </c>
      <c r="AH29" s="82">
        <f>IF(OR($C29="",AH$7=""),"",IF(AG29="",AF29,INDEX(Settings_ShiftLegends,IF(MATCH(AG29,Settings_ShiftLegends,0)+1&gt;COUNTA(Settings_ShiftLegends),1,MATCH(AG29,Settings_ShiftLegends,0)+1))))</f>
        <v/>
      </c>
      <c r="AI29" s="82">
        <f>IF(OR($C29="",AI$7=""),"",IF(AH29="",AG29,INDEX(Settings_ShiftLegends,IF(MATCH(AH29,Settings_ShiftLegends,0)+1&gt;COUNTA(Settings_ShiftLegends),1,MATCH(AH29,Settings_ShiftLegends,0)+1))))</f>
        <v/>
      </c>
      <c r="AK29" s="82">
        <f>COUNTIF($E29:$AI29,"M*")</f>
        <v/>
      </c>
      <c r="AL29" s="82">
        <f>COUNTIF($E29:$AI29,"A*")</f>
        <v/>
      </c>
      <c r="AM29" s="82">
        <f>COUNTIF($E29:$AI29,"N*")</f>
        <v/>
      </c>
      <c r="AN29" s="82">
        <f>COUNTIF($E29:$AI29,"O*")</f>
        <v/>
      </c>
    </row>
    <row r="30">
      <c r="B30" s="3" t="inlineStr">
        <is>
          <t>Employee -23</t>
        </is>
      </c>
      <c r="C30" s="3" t="inlineStr">
        <is>
          <t>O2</t>
        </is>
      </c>
      <c r="E30" s="82">
        <f>IF(OR($C30="",E$7=""),"",IF(D30="",C30,INDEX(Settings_ShiftLegends,IF(MATCH(D30,Settings_ShiftLegends,0)+1&gt;COUNTA(Settings_ShiftLegends),1,MATCH(D30,Settings_ShiftLegends,0)+1))))</f>
        <v/>
      </c>
      <c r="F30" s="82">
        <f>IF(OR($C30="",F$7=""),"",IF(E30="",D30,INDEX(Settings_ShiftLegends,IF(MATCH(E30,Settings_ShiftLegends,0)+1&gt;COUNTA(Settings_ShiftLegends),1,MATCH(E30,Settings_ShiftLegends,0)+1))))</f>
        <v/>
      </c>
      <c r="G30" s="82">
        <f>IF(OR($C30="",G$7=""),"",IF(F30="",E30,INDEX(Settings_ShiftLegends,IF(MATCH(F30,Settings_ShiftLegends,0)+1&gt;COUNTA(Settings_ShiftLegends),1,MATCH(F30,Settings_ShiftLegends,0)+1))))</f>
        <v/>
      </c>
      <c r="H30" s="82">
        <f>IF(OR($C30="",H$7=""),"",IF(G30="",F30,INDEX(Settings_ShiftLegends,IF(MATCH(G30,Settings_ShiftLegends,0)+1&gt;COUNTA(Settings_ShiftLegends),1,MATCH(G30,Settings_ShiftLegends,0)+1))))</f>
        <v/>
      </c>
      <c r="I30" s="82">
        <f>IF(OR($C30="",I$7=""),"",IF(H30="",G30,INDEX(Settings_ShiftLegends,IF(MATCH(H30,Settings_ShiftLegends,0)+1&gt;COUNTA(Settings_ShiftLegends),1,MATCH(H30,Settings_ShiftLegends,0)+1))))</f>
        <v/>
      </c>
      <c r="J30" s="82">
        <f>IF(OR($C30="",J$7=""),"",IF(I30="",H30,INDEX(Settings_ShiftLegends,IF(MATCH(I30,Settings_ShiftLegends,0)+1&gt;COUNTA(Settings_ShiftLegends),1,MATCH(I30,Settings_ShiftLegends,0)+1))))</f>
        <v/>
      </c>
      <c r="K30" s="82">
        <f>IF(OR($C30="",K$7=""),"",IF(J30="",I30,INDEX(Settings_ShiftLegends,IF(MATCH(J30,Settings_ShiftLegends,0)+1&gt;COUNTA(Settings_ShiftLegends),1,MATCH(J30,Settings_ShiftLegends,0)+1))))</f>
        <v/>
      </c>
      <c r="L30" s="82">
        <f>IF(OR($C30="",L$7=""),"",IF(K30="",J30,INDEX(Settings_ShiftLegends,IF(MATCH(K30,Settings_ShiftLegends,0)+1&gt;COUNTA(Settings_ShiftLegends),1,MATCH(K30,Settings_ShiftLegends,0)+1))))</f>
        <v/>
      </c>
      <c r="M30" s="82">
        <f>IF(OR($C30="",M$7=""),"",IF(L30="",K30,INDEX(Settings_ShiftLegends,IF(MATCH(L30,Settings_ShiftLegends,0)+1&gt;COUNTA(Settings_ShiftLegends),1,MATCH(L30,Settings_ShiftLegends,0)+1))))</f>
        <v/>
      </c>
      <c r="N30" s="82">
        <f>IF(OR($C30="",N$7=""),"",IF(M30="",L30,INDEX(Settings_ShiftLegends,IF(MATCH(M30,Settings_ShiftLegends,0)+1&gt;COUNTA(Settings_ShiftLegends),1,MATCH(M30,Settings_ShiftLegends,0)+1))))</f>
        <v/>
      </c>
      <c r="O30" s="82">
        <f>IF(OR($C30="",O$7=""),"",IF(N30="",M30,INDEX(Settings_ShiftLegends,IF(MATCH(N30,Settings_ShiftLegends,0)+1&gt;COUNTA(Settings_ShiftLegends),1,MATCH(N30,Settings_ShiftLegends,0)+1))))</f>
        <v/>
      </c>
      <c r="P30" s="82">
        <f>IF(OR($C30="",P$7=""),"",IF(O30="",N30,INDEX(Settings_ShiftLegends,IF(MATCH(O30,Settings_ShiftLegends,0)+1&gt;COUNTA(Settings_ShiftLegends),1,MATCH(O30,Settings_ShiftLegends,0)+1))))</f>
        <v/>
      </c>
      <c r="Q30" s="82">
        <f>IF(OR($C30="",Q$7=""),"",IF(P30="",O30,INDEX(Settings_ShiftLegends,IF(MATCH(P30,Settings_ShiftLegends,0)+1&gt;COUNTA(Settings_ShiftLegends),1,MATCH(P30,Settings_ShiftLegends,0)+1))))</f>
        <v/>
      </c>
      <c r="R30" s="82">
        <f>IF(OR($C30="",R$7=""),"",IF(Q30="",P30,INDEX(Settings_ShiftLegends,IF(MATCH(Q30,Settings_ShiftLegends,0)+1&gt;COUNTA(Settings_ShiftLegends),1,MATCH(Q30,Settings_ShiftLegends,0)+1))))</f>
        <v/>
      </c>
      <c r="S30" s="82">
        <f>IF(OR($C30="",S$7=""),"",IF(R30="",Q30,INDEX(Settings_ShiftLegends,IF(MATCH(R30,Settings_ShiftLegends,0)+1&gt;COUNTA(Settings_ShiftLegends),1,MATCH(R30,Settings_ShiftLegends,0)+1))))</f>
        <v/>
      </c>
      <c r="T30" s="82">
        <f>IF(OR($C30="",T$7=""),"",IF(S30="",R30,INDEX(Settings_ShiftLegends,IF(MATCH(S30,Settings_ShiftLegends,0)+1&gt;COUNTA(Settings_ShiftLegends),1,MATCH(S30,Settings_ShiftLegends,0)+1))))</f>
        <v/>
      </c>
      <c r="U30" s="82">
        <f>IF(OR($C30="",U$7=""),"",IF(T30="",S30,INDEX(Settings_ShiftLegends,IF(MATCH(T30,Settings_ShiftLegends,0)+1&gt;COUNTA(Settings_ShiftLegends),1,MATCH(T30,Settings_ShiftLegends,0)+1))))</f>
        <v/>
      </c>
      <c r="V30" s="82">
        <f>IF(OR($C30="",V$7=""),"",IF(U30="",T30,INDEX(Settings_ShiftLegends,IF(MATCH(U30,Settings_ShiftLegends,0)+1&gt;COUNTA(Settings_ShiftLegends),1,MATCH(U30,Settings_ShiftLegends,0)+1))))</f>
        <v/>
      </c>
      <c r="W30" s="82">
        <f>IF(OR($C30="",W$7=""),"",IF(V30="",U30,INDEX(Settings_ShiftLegends,IF(MATCH(V30,Settings_ShiftLegends,0)+1&gt;COUNTA(Settings_ShiftLegends),1,MATCH(V30,Settings_ShiftLegends,0)+1))))</f>
        <v/>
      </c>
      <c r="X30" s="82">
        <f>IF(OR($C30="",X$7=""),"",IF(W30="",V30,INDEX(Settings_ShiftLegends,IF(MATCH(W30,Settings_ShiftLegends,0)+1&gt;COUNTA(Settings_ShiftLegends),1,MATCH(W30,Settings_ShiftLegends,0)+1))))</f>
        <v/>
      </c>
      <c r="Y30" s="82">
        <f>IF(OR($C30="",Y$7=""),"",IF(X30="",W30,INDEX(Settings_ShiftLegends,IF(MATCH(X30,Settings_ShiftLegends,0)+1&gt;COUNTA(Settings_ShiftLegends),1,MATCH(X30,Settings_ShiftLegends,0)+1))))</f>
        <v/>
      </c>
      <c r="Z30" s="82">
        <f>IF(OR($C30="",Z$7=""),"",IF(Y30="",X30,INDEX(Settings_ShiftLegends,IF(MATCH(Y30,Settings_ShiftLegends,0)+1&gt;COUNTA(Settings_ShiftLegends),1,MATCH(Y30,Settings_ShiftLegends,0)+1))))</f>
        <v/>
      </c>
      <c r="AA30" s="82">
        <f>IF(OR($C30="",AA$7=""),"",IF(Z30="",Y30,INDEX(Settings_ShiftLegends,IF(MATCH(Z30,Settings_ShiftLegends,0)+1&gt;COUNTA(Settings_ShiftLegends),1,MATCH(Z30,Settings_ShiftLegends,0)+1))))</f>
        <v/>
      </c>
      <c r="AB30" s="82">
        <f>IF(OR($C30="",AB$7=""),"",IF(AA30="",Z30,INDEX(Settings_ShiftLegends,IF(MATCH(AA30,Settings_ShiftLegends,0)+1&gt;COUNTA(Settings_ShiftLegends),1,MATCH(AA30,Settings_ShiftLegends,0)+1))))</f>
        <v/>
      </c>
      <c r="AC30" s="82">
        <f>IF(OR($C30="",AC$7=""),"",IF(AB30="",AA30,INDEX(Settings_ShiftLegends,IF(MATCH(AB30,Settings_ShiftLegends,0)+1&gt;COUNTA(Settings_ShiftLegends),1,MATCH(AB30,Settings_ShiftLegends,0)+1))))</f>
        <v/>
      </c>
      <c r="AD30" s="82">
        <f>IF(OR($C30="",AD$7=""),"",IF(AC30="",AB30,INDEX(Settings_ShiftLegends,IF(MATCH(AC30,Settings_ShiftLegends,0)+1&gt;COUNTA(Settings_ShiftLegends),1,MATCH(AC30,Settings_ShiftLegends,0)+1))))</f>
        <v/>
      </c>
      <c r="AE30" s="82">
        <f>IF(OR($C30="",AE$7=""),"",IF(AD30="",AC30,INDEX(Settings_ShiftLegends,IF(MATCH(AD30,Settings_ShiftLegends,0)+1&gt;COUNTA(Settings_ShiftLegends),1,MATCH(AD30,Settings_ShiftLegends,0)+1))))</f>
        <v/>
      </c>
      <c r="AF30" s="82">
        <f>IF(OR($C30="",AF$7=""),"",IF(AE30="",AD30,INDEX(Settings_ShiftLegends,IF(MATCH(AE30,Settings_ShiftLegends,0)+1&gt;COUNTA(Settings_ShiftLegends),1,MATCH(AE30,Settings_ShiftLegends,0)+1))))</f>
        <v/>
      </c>
      <c r="AG30" s="82">
        <f>IF(OR($C30="",AG$7=""),"",IF(AF30="",AE30,INDEX(Settings_ShiftLegends,IF(MATCH(AF30,Settings_ShiftLegends,0)+1&gt;COUNTA(Settings_ShiftLegends),1,MATCH(AF30,Settings_ShiftLegends,0)+1))))</f>
        <v/>
      </c>
      <c r="AH30" s="82">
        <f>IF(OR($C30="",AH$7=""),"",IF(AG30="",AF30,INDEX(Settings_ShiftLegends,IF(MATCH(AG30,Settings_ShiftLegends,0)+1&gt;COUNTA(Settings_ShiftLegends),1,MATCH(AG30,Settings_ShiftLegends,0)+1))))</f>
        <v/>
      </c>
      <c r="AI30" s="82">
        <f>IF(OR($C30="",AI$7=""),"",IF(AH30="",AG30,INDEX(Settings_ShiftLegends,IF(MATCH(AH30,Settings_ShiftLegends,0)+1&gt;COUNTA(Settings_ShiftLegends),1,MATCH(AH30,Settings_ShiftLegends,0)+1))))</f>
        <v/>
      </c>
      <c r="AK30" s="82">
        <f>COUNTIF($E30:$AI30,"M*")</f>
        <v/>
      </c>
      <c r="AL30" s="82">
        <f>COUNTIF($E30:$AI30,"A*")</f>
        <v/>
      </c>
      <c r="AM30" s="82">
        <f>COUNTIF($E30:$AI30,"N*")</f>
        <v/>
      </c>
      <c r="AN30" s="82">
        <f>COUNTIF($E30:$AI30,"O*")</f>
        <v/>
      </c>
    </row>
    <row r="31">
      <c r="B31" s="3" t="inlineStr">
        <is>
          <t>Employee -24</t>
        </is>
      </c>
      <c r="C31" s="3" t="inlineStr">
        <is>
          <t>O3</t>
        </is>
      </c>
      <c r="E31" s="82">
        <f>IF(OR($C31="",E$7=""),"",IF(D31="",C31,INDEX(Settings_ShiftLegends,IF(MATCH(D31,Settings_ShiftLegends,0)+1&gt;COUNTA(Settings_ShiftLegends),1,MATCH(D31,Settings_ShiftLegends,0)+1))))</f>
        <v/>
      </c>
      <c r="F31" s="82">
        <f>IF(OR($C31="",F$7=""),"",IF(E31="",D31,INDEX(Settings_ShiftLegends,IF(MATCH(E31,Settings_ShiftLegends,0)+1&gt;COUNTA(Settings_ShiftLegends),1,MATCH(E31,Settings_ShiftLegends,0)+1))))</f>
        <v/>
      </c>
      <c r="G31" s="82">
        <f>IF(OR($C31="",G$7=""),"",IF(F31="",E31,INDEX(Settings_ShiftLegends,IF(MATCH(F31,Settings_ShiftLegends,0)+1&gt;COUNTA(Settings_ShiftLegends),1,MATCH(F31,Settings_ShiftLegends,0)+1))))</f>
        <v/>
      </c>
      <c r="H31" s="82">
        <f>IF(OR($C31="",H$7=""),"",IF(G31="",F31,INDEX(Settings_ShiftLegends,IF(MATCH(G31,Settings_ShiftLegends,0)+1&gt;COUNTA(Settings_ShiftLegends),1,MATCH(G31,Settings_ShiftLegends,0)+1))))</f>
        <v/>
      </c>
      <c r="I31" s="82">
        <f>IF(OR($C31="",I$7=""),"",IF(H31="",G31,INDEX(Settings_ShiftLegends,IF(MATCH(H31,Settings_ShiftLegends,0)+1&gt;COUNTA(Settings_ShiftLegends),1,MATCH(H31,Settings_ShiftLegends,0)+1))))</f>
        <v/>
      </c>
      <c r="J31" s="82">
        <f>IF(OR($C31="",J$7=""),"",IF(I31="",H31,INDEX(Settings_ShiftLegends,IF(MATCH(I31,Settings_ShiftLegends,0)+1&gt;COUNTA(Settings_ShiftLegends),1,MATCH(I31,Settings_ShiftLegends,0)+1))))</f>
        <v/>
      </c>
      <c r="K31" s="82">
        <f>IF(OR($C31="",K$7=""),"",IF(J31="",I31,INDEX(Settings_ShiftLegends,IF(MATCH(J31,Settings_ShiftLegends,0)+1&gt;COUNTA(Settings_ShiftLegends),1,MATCH(J31,Settings_ShiftLegends,0)+1))))</f>
        <v/>
      </c>
      <c r="L31" s="82">
        <f>IF(OR($C31="",L$7=""),"",IF(K31="",J31,INDEX(Settings_ShiftLegends,IF(MATCH(K31,Settings_ShiftLegends,0)+1&gt;COUNTA(Settings_ShiftLegends),1,MATCH(K31,Settings_ShiftLegends,0)+1))))</f>
        <v/>
      </c>
      <c r="M31" s="82">
        <f>IF(OR($C31="",M$7=""),"",IF(L31="",K31,INDEX(Settings_ShiftLegends,IF(MATCH(L31,Settings_ShiftLegends,0)+1&gt;COUNTA(Settings_ShiftLegends),1,MATCH(L31,Settings_ShiftLegends,0)+1))))</f>
        <v/>
      </c>
      <c r="N31" s="82">
        <f>IF(OR($C31="",N$7=""),"",IF(M31="",L31,INDEX(Settings_ShiftLegends,IF(MATCH(M31,Settings_ShiftLegends,0)+1&gt;COUNTA(Settings_ShiftLegends),1,MATCH(M31,Settings_ShiftLegends,0)+1))))</f>
        <v/>
      </c>
      <c r="O31" s="82">
        <f>IF(OR($C31="",O$7=""),"",IF(N31="",M31,INDEX(Settings_ShiftLegends,IF(MATCH(N31,Settings_ShiftLegends,0)+1&gt;COUNTA(Settings_ShiftLegends),1,MATCH(N31,Settings_ShiftLegends,0)+1))))</f>
        <v/>
      </c>
      <c r="P31" s="82">
        <f>IF(OR($C31="",P$7=""),"",IF(O31="",N31,INDEX(Settings_ShiftLegends,IF(MATCH(O31,Settings_ShiftLegends,0)+1&gt;COUNTA(Settings_ShiftLegends),1,MATCH(O31,Settings_ShiftLegends,0)+1))))</f>
        <v/>
      </c>
      <c r="Q31" s="82">
        <f>IF(OR($C31="",Q$7=""),"",IF(P31="",O31,INDEX(Settings_ShiftLegends,IF(MATCH(P31,Settings_ShiftLegends,0)+1&gt;COUNTA(Settings_ShiftLegends),1,MATCH(P31,Settings_ShiftLegends,0)+1))))</f>
        <v/>
      </c>
      <c r="R31" s="82">
        <f>IF(OR($C31="",R$7=""),"",IF(Q31="",P31,INDEX(Settings_ShiftLegends,IF(MATCH(Q31,Settings_ShiftLegends,0)+1&gt;COUNTA(Settings_ShiftLegends),1,MATCH(Q31,Settings_ShiftLegends,0)+1))))</f>
        <v/>
      </c>
      <c r="S31" s="82">
        <f>IF(OR($C31="",S$7=""),"",IF(R31="",Q31,INDEX(Settings_ShiftLegends,IF(MATCH(R31,Settings_ShiftLegends,0)+1&gt;COUNTA(Settings_ShiftLegends),1,MATCH(R31,Settings_ShiftLegends,0)+1))))</f>
        <v/>
      </c>
      <c r="T31" s="82">
        <f>IF(OR($C31="",T$7=""),"",IF(S31="",R31,INDEX(Settings_ShiftLegends,IF(MATCH(S31,Settings_ShiftLegends,0)+1&gt;COUNTA(Settings_ShiftLegends),1,MATCH(S31,Settings_ShiftLegends,0)+1))))</f>
        <v/>
      </c>
      <c r="U31" s="82">
        <f>IF(OR($C31="",U$7=""),"",IF(T31="",S31,INDEX(Settings_ShiftLegends,IF(MATCH(T31,Settings_ShiftLegends,0)+1&gt;COUNTA(Settings_ShiftLegends),1,MATCH(T31,Settings_ShiftLegends,0)+1))))</f>
        <v/>
      </c>
      <c r="V31" s="82">
        <f>IF(OR($C31="",V$7=""),"",IF(U31="",T31,INDEX(Settings_ShiftLegends,IF(MATCH(U31,Settings_ShiftLegends,0)+1&gt;COUNTA(Settings_ShiftLegends),1,MATCH(U31,Settings_ShiftLegends,0)+1))))</f>
        <v/>
      </c>
      <c r="W31" s="82">
        <f>IF(OR($C31="",W$7=""),"",IF(V31="",U31,INDEX(Settings_ShiftLegends,IF(MATCH(V31,Settings_ShiftLegends,0)+1&gt;COUNTA(Settings_ShiftLegends),1,MATCH(V31,Settings_ShiftLegends,0)+1))))</f>
        <v/>
      </c>
      <c r="X31" s="82">
        <f>IF(OR($C31="",X$7=""),"",IF(W31="",V31,INDEX(Settings_ShiftLegends,IF(MATCH(W31,Settings_ShiftLegends,0)+1&gt;COUNTA(Settings_ShiftLegends),1,MATCH(W31,Settings_ShiftLegends,0)+1))))</f>
        <v/>
      </c>
      <c r="Y31" s="82">
        <f>IF(OR($C31="",Y$7=""),"",IF(X31="",W31,INDEX(Settings_ShiftLegends,IF(MATCH(X31,Settings_ShiftLegends,0)+1&gt;COUNTA(Settings_ShiftLegends),1,MATCH(X31,Settings_ShiftLegends,0)+1))))</f>
        <v/>
      </c>
      <c r="Z31" s="82">
        <f>IF(OR($C31="",Z$7=""),"",IF(Y31="",X31,INDEX(Settings_ShiftLegends,IF(MATCH(Y31,Settings_ShiftLegends,0)+1&gt;COUNTA(Settings_ShiftLegends),1,MATCH(Y31,Settings_ShiftLegends,0)+1))))</f>
        <v/>
      </c>
      <c r="AA31" s="82">
        <f>IF(OR($C31="",AA$7=""),"",IF(Z31="",Y31,INDEX(Settings_ShiftLegends,IF(MATCH(Z31,Settings_ShiftLegends,0)+1&gt;COUNTA(Settings_ShiftLegends),1,MATCH(Z31,Settings_ShiftLegends,0)+1))))</f>
        <v/>
      </c>
      <c r="AB31" s="82">
        <f>IF(OR($C31="",AB$7=""),"",IF(AA31="",Z31,INDEX(Settings_ShiftLegends,IF(MATCH(AA31,Settings_ShiftLegends,0)+1&gt;COUNTA(Settings_ShiftLegends),1,MATCH(AA31,Settings_ShiftLegends,0)+1))))</f>
        <v/>
      </c>
      <c r="AC31" s="82">
        <f>IF(OR($C31="",AC$7=""),"",IF(AB31="",AA31,INDEX(Settings_ShiftLegends,IF(MATCH(AB31,Settings_ShiftLegends,0)+1&gt;COUNTA(Settings_ShiftLegends),1,MATCH(AB31,Settings_ShiftLegends,0)+1))))</f>
        <v/>
      </c>
      <c r="AD31" s="82">
        <f>IF(OR($C31="",AD$7=""),"",IF(AC31="",AB31,INDEX(Settings_ShiftLegends,IF(MATCH(AC31,Settings_ShiftLegends,0)+1&gt;COUNTA(Settings_ShiftLegends),1,MATCH(AC31,Settings_ShiftLegends,0)+1))))</f>
        <v/>
      </c>
      <c r="AE31" s="82">
        <f>IF(OR($C31="",AE$7=""),"",IF(AD31="",AC31,INDEX(Settings_ShiftLegends,IF(MATCH(AD31,Settings_ShiftLegends,0)+1&gt;COUNTA(Settings_ShiftLegends),1,MATCH(AD31,Settings_ShiftLegends,0)+1))))</f>
        <v/>
      </c>
      <c r="AF31" s="82">
        <f>IF(OR($C31="",AF$7=""),"",IF(AE31="",AD31,INDEX(Settings_ShiftLegends,IF(MATCH(AE31,Settings_ShiftLegends,0)+1&gt;COUNTA(Settings_ShiftLegends),1,MATCH(AE31,Settings_ShiftLegends,0)+1))))</f>
        <v/>
      </c>
      <c r="AG31" s="82">
        <f>IF(OR($C31="",AG$7=""),"",IF(AF31="",AE31,INDEX(Settings_ShiftLegends,IF(MATCH(AF31,Settings_ShiftLegends,0)+1&gt;COUNTA(Settings_ShiftLegends),1,MATCH(AF31,Settings_ShiftLegends,0)+1))))</f>
        <v/>
      </c>
      <c r="AH31" s="82">
        <f>IF(OR($C31="",AH$7=""),"",IF(AG31="",AF31,INDEX(Settings_ShiftLegends,IF(MATCH(AG31,Settings_ShiftLegends,0)+1&gt;COUNTA(Settings_ShiftLegends),1,MATCH(AG31,Settings_ShiftLegends,0)+1))))</f>
        <v/>
      </c>
      <c r="AI31" s="82">
        <f>IF(OR($C31="",AI$7=""),"",IF(AH31="",AG31,INDEX(Settings_ShiftLegends,IF(MATCH(AH31,Settings_ShiftLegends,0)+1&gt;COUNTA(Settings_ShiftLegends),1,MATCH(AH31,Settings_ShiftLegends,0)+1))))</f>
        <v/>
      </c>
      <c r="AK31" s="82">
        <f>COUNTIF($E31:$AI31,"M*")</f>
        <v/>
      </c>
      <c r="AL31" s="82">
        <f>COUNTIF($E31:$AI31,"A*")</f>
        <v/>
      </c>
      <c r="AM31" s="82">
        <f>COUNTIF($E31:$AI31,"N*")</f>
        <v/>
      </c>
      <c r="AN31" s="82">
        <f>COUNTIF($E31:$AI31,"O*")</f>
        <v/>
      </c>
    </row>
    <row r="32">
      <c r="B32" s="3" t="inlineStr">
        <is>
          <t>Employee -25</t>
        </is>
      </c>
      <c r="C32" s="3" t="inlineStr">
        <is>
          <t>M1</t>
        </is>
      </c>
      <c r="E32" s="82">
        <f>IF(OR($C32="",E$7=""),"",IF(D32="",C32,INDEX(Settings_ShiftLegends,IF(MATCH(D32,Settings_ShiftLegends,0)+1&gt;COUNTA(Settings_ShiftLegends),1,MATCH(D32,Settings_ShiftLegends,0)+1))))</f>
        <v/>
      </c>
      <c r="F32" s="82">
        <f>IF(OR($C32="",F$7=""),"",IF(E32="",D32,INDEX(Settings_ShiftLegends,IF(MATCH(E32,Settings_ShiftLegends,0)+1&gt;COUNTA(Settings_ShiftLegends),1,MATCH(E32,Settings_ShiftLegends,0)+1))))</f>
        <v/>
      </c>
      <c r="G32" s="82">
        <f>IF(OR($C32="",G$7=""),"",IF(F32="",E32,INDEX(Settings_ShiftLegends,IF(MATCH(F32,Settings_ShiftLegends,0)+1&gt;COUNTA(Settings_ShiftLegends),1,MATCH(F32,Settings_ShiftLegends,0)+1))))</f>
        <v/>
      </c>
      <c r="H32" s="82">
        <f>IF(OR($C32="",H$7=""),"",IF(G32="",F32,INDEX(Settings_ShiftLegends,IF(MATCH(G32,Settings_ShiftLegends,0)+1&gt;COUNTA(Settings_ShiftLegends),1,MATCH(G32,Settings_ShiftLegends,0)+1))))</f>
        <v/>
      </c>
      <c r="I32" s="82">
        <f>IF(OR($C32="",I$7=""),"",IF(H32="",G32,INDEX(Settings_ShiftLegends,IF(MATCH(H32,Settings_ShiftLegends,0)+1&gt;COUNTA(Settings_ShiftLegends),1,MATCH(H32,Settings_ShiftLegends,0)+1))))</f>
        <v/>
      </c>
      <c r="J32" s="82">
        <f>IF(OR($C32="",J$7=""),"",IF(I32="",H32,INDEX(Settings_ShiftLegends,IF(MATCH(I32,Settings_ShiftLegends,0)+1&gt;COUNTA(Settings_ShiftLegends),1,MATCH(I32,Settings_ShiftLegends,0)+1))))</f>
        <v/>
      </c>
      <c r="K32" s="82">
        <f>IF(OR($C32="",K$7=""),"",IF(J32="",I32,INDEX(Settings_ShiftLegends,IF(MATCH(J32,Settings_ShiftLegends,0)+1&gt;COUNTA(Settings_ShiftLegends),1,MATCH(J32,Settings_ShiftLegends,0)+1))))</f>
        <v/>
      </c>
      <c r="L32" s="82">
        <f>IF(OR($C32="",L$7=""),"",IF(K32="",J32,INDEX(Settings_ShiftLegends,IF(MATCH(K32,Settings_ShiftLegends,0)+1&gt;COUNTA(Settings_ShiftLegends),1,MATCH(K32,Settings_ShiftLegends,0)+1))))</f>
        <v/>
      </c>
      <c r="M32" s="82">
        <f>IF(OR($C32="",M$7=""),"",IF(L32="",K32,INDEX(Settings_ShiftLegends,IF(MATCH(L32,Settings_ShiftLegends,0)+1&gt;COUNTA(Settings_ShiftLegends),1,MATCH(L32,Settings_ShiftLegends,0)+1))))</f>
        <v/>
      </c>
      <c r="N32" s="82">
        <f>IF(OR($C32="",N$7=""),"",IF(M32="",L32,INDEX(Settings_ShiftLegends,IF(MATCH(M32,Settings_ShiftLegends,0)+1&gt;COUNTA(Settings_ShiftLegends),1,MATCH(M32,Settings_ShiftLegends,0)+1))))</f>
        <v/>
      </c>
      <c r="O32" s="82">
        <f>IF(OR($C32="",O$7=""),"",IF(N32="",M32,INDEX(Settings_ShiftLegends,IF(MATCH(N32,Settings_ShiftLegends,0)+1&gt;COUNTA(Settings_ShiftLegends),1,MATCH(N32,Settings_ShiftLegends,0)+1))))</f>
        <v/>
      </c>
      <c r="P32" s="82">
        <f>IF(OR($C32="",P$7=""),"",IF(O32="",N32,INDEX(Settings_ShiftLegends,IF(MATCH(O32,Settings_ShiftLegends,0)+1&gt;COUNTA(Settings_ShiftLegends),1,MATCH(O32,Settings_ShiftLegends,0)+1))))</f>
        <v/>
      </c>
      <c r="Q32" s="82">
        <f>IF(OR($C32="",Q$7=""),"",IF(P32="",O32,INDEX(Settings_ShiftLegends,IF(MATCH(P32,Settings_ShiftLegends,0)+1&gt;COUNTA(Settings_ShiftLegends),1,MATCH(P32,Settings_ShiftLegends,0)+1))))</f>
        <v/>
      </c>
      <c r="R32" s="82">
        <f>IF(OR($C32="",R$7=""),"",IF(Q32="",P32,INDEX(Settings_ShiftLegends,IF(MATCH(Q32,Settings_ShiftLegends,0)+1&gt;COUNTA(Settings_ShiftLegends),1,MATCH(Q32,Settings_ShiftLegends,0)+1))))</f>
        <v/>
      </c>
      <c r="S32" s="82">
        <f>IF(OR($C32="",S$7=""),"",IF(R32="",Q32,INDEX(Settings_ShiftLegends,IF(MATCH(R32,Settings_ShiftLegends,0)+1&gt;COUNTA(Settings_ShiftLegends),1,MATCH(R32,Settings_ShiftLegends,0)+1))))</f>
        <v/>
      </c>
      <c r="T32" s="82">
        <f>IF(OR($C32="",T$7=""),"",IF(S32="",R32,INDEX(Settings_ShiftLegends,IF(MATCH(S32,Settings_ShiftLegends,0)+1&gt;COUNTA(Settings_ShiftLegends),1,MATCH(S32,Settings_ShiftLegends,0)+1))))</f>
        <v/>
      </c>
      <c r="U32" s="82">
        <f>IF(OR($C32="",U$7=""),"",IF(T32="",S32,INDEX(Settings_ShiftLegends,IF(MATCH(T32,Settings_ShiftLegends,0)+1&gt;COUNTA(Settings_ShiftLegends),1,MATCH(T32,Settings_ShiftLegends,0)+1))))</f>
        <v/>
      </c>
      <c r="V32" s="82">
        <f>IF(OR($C32="",V$7=""),"",IF(U32="",T32,INDEX(Settings_ShiftLegends,IF(MATCH(U32,Settings_ShiftLegends,0)+1&gt;COUNTA(Settings_ShiftLegends),1,MATCH(U32,Settings_ShiftLegends,0)+1))))</f>
        <v/>
      </c>
      <c r="W32" s="82">
        <f>IF(OR($C32="",W$7=""),"",IF(V32="",U32,INDEX(Settings_ShiftLegends,IF(MATCH(V32,Settings_ShiftLegends,0)+1&gt;COUNTA(Settings_ShiftLegends),1,MATCH(V32,Settings_ShiftLegends,0)+1))))</f>
        <v/>
      </c>
      <c r="X32" s="82">
        <f>IF(OR($C32="",X$7=""),"",IF(W32="",V32,INDEX(Settings_ShiftLegends,IF(MATCH(W32,Settings_ShiftLegends,0)+1&gt;COUNTA(Settings_ShiftLegends),1,MATCH(W32,Settings_ShiftLegends,0)+1))))</f>
        <v/>
      </c>
      <c r="Y32" s="82">
        <f>IF(OR($C32="",Y$7=""),"",IF(X32="",W32,INDEX(Settings_ShiftLegends,IF(MATCH(X32,Settings_ShiftLegends,0)+1&gt;COUNTA(Settings_ShiftLegends),1,MATCH(X32,Settings_ShiftLegends,0)+1))))</f>
        <v/>
      </c>
      <c r="Z32" s="82">
        <f>IF(OR($C32="",Z$7=""),"",IF(Y32="",X32,INDEX(Settings_ShiftLegends,IF(MATCH(Y32,Settings_ShiftLegends,0)+1&gt;COUNTA(Settings_ShiftLegends),1,MATCH(Y32,Settings_ShiftLegends,0)+1))))</f>
        <v/>
      </c>
      <c r="AA32" s="82">
        <f>IF(OR($C32="",AA$7=""),"",IF(Z32="",Y32,INDEX(Settings_ShiftLegends,IF(MATCH(Z32,Settings_ShiftLegends,0)+1&gt;COUNTA(Settings_ShiftLegends),1,MATCH(Z32,Settings_ShiftLegends,0)+1))))</f>
        <v/>
      </c>
      <c r="AB32" s="82">
        <f>IF(OR($C32="",AB$7=""),"",IF(AA32="",Z32,INDEX(Settings_ShiftLegends,IF(MATCH(AA32,Settings_ShiftLegends,0)+1&gt;COUNTA(Settings_ShiftLegends),1,MATCH(AA32,Settings_ShiftLegends,0)+1))))</f>
        <v/>
      </c>
      <c r="AC32" s="82">
        <f>IF(OR($C32="",AC$7=""),"",IF(AB32="",AA32,INDEX(Settings_ShiftLegends,IF(MATCH(AB32,Settings_ShiftLegends,0)+1&gt;COUNTA(Settings_ShiftLegends),1,MATCH(AB32,Settings_ShiftLegends,0)+1))))</f>
        <v/>
      </c>
      <c r="AD32" s="82">
        <f>IF(OR($C32="",AD$7=""),"",IF(AC32="",AB32,INDEX(Settings_ShiftLegends,IF(MATCH(AC32,Settings_ShiftLegends,0)+1&gt;COUNTA(Settings_ShiftLegends),1,MATCH(AC32,Settings_ShiftLegends,0)+1))))</f>
        <v/>
      </c>
      <c r="AE32" s="82">
        <f>IF(OR($C32="",AE$7=""),"",IF(AD32="",AC32,INDEX(Settings_ShiftLegends,IF(MATCH(AD32,Settings_ShiftLegends,0)+1&gt;COUNTA(Settings_ShiftLegends),1,MATCH(AD32,Settings_ShiftLegends,0)+1))))</f>
        <v/>
      </c>
      <c r="AF32" s="82">
        <f>IF(OR($C32="",AF$7=""),"",IF(AE32="",AD32,INDEX(Settings_ShiftLegends,IF(MATCH(AE32,Settings_ShiftLegends,0)+1&gt;COUNTA(Settings_ShiftLegends),1,MATCH(AE32,Settings_ShiftLegends,0)+1))))</f>
        <v/>
      </c>
      <c r="AG32" s="82">
        <f>IF(OR($C32="",AG$7=""),"",IF(AF32="",AE32,INDEX(Settings_ShiftLegends,IF(MATCH(AF32,Settings_ShiftLegends,0)+1&gt;COUNTA(Settings_ShiftLegends),1,MATCH(AF32,Settings_ShiftLegends,0)+1))))</f>
        <v/>
      </c>
      <c r="AH32" s="82">
        <f>IF(OR($C32="",AH$7=""),"",IF(AG32="",AF32,INDEX(Settings_ShiftLegends,IF(MATCH(AG32,Settings_ShiftLegends,0)+1&gt;COUNTA(Settings_ShiftLegends),1,MATCH(AG32,Settings_ShiftLegends,0)+1))))</f>
        <v/>
      </c>
      <c r="AI32" s="82">
        <f>IF(OR($C32="",AI$7=""),"",IF(AH32="",AG32,INDEX(Settings_ShiftLegends,IF(MATCH(AH32,Settings_ShiftLegends,0)+1&gt;COUNTA(Settings_ShiftLegends),1,MATCH(AH32,Settings_ShiftLegends,0)+1))))</f>
        <v/>
      </c>
      <c r="AK32" s="82">
        <f>COUNTIF($E32:$AI32,"M*")</f>
        <v/>
      </c>
      <c r="AL32" s="82">
        <f>COUNTIF($E32:$AI32,"A*")</f>
        <v/>
      </c>
      <c r="AM32" s="82">
        <f>COUNTIF($E32:$AI32,"N*")</f>
        <v/>
      </c>
      <c r="AN32" s="82">
        <f>COUNTIF($E32:$AI32,"O*")</f>
        <v/>
      </c>
    </row>
    <row r="33">
      <c r="B33" s="3" t="inlineStr">
        <is>
          <t>Employee -26</t>
        </is>
      </c>
      <c r="C33" s="3" t="inlineStr">
        <is>
          <t>M2</t>
        </is>
      </c>
      <c r="E33" s="82">
        <f>IF(OR($C33="",E$7=""),"",IF(D33="",C33,INDEX(Settings_ShiftLegends,IF(MATCH(D33,Settings_ShiftLegends,0)+1&gt;COUNTA(Settings_ShiftLegends),1,MATCH(D33,Settings_ShiftLegends,0)+1))))</f>
        <v/>
      </c>
      <c r="F33" s="82">
        <f>IF(OR($C33="",F$7=""),"",IF(E33="",D33,INDEX(Settings_ShiftLegends,IF(MATCH(E33,Settings_ShiftLegends,0)+1&gt;COUNTA(Settings_ShiftLegends),1,MATCH(E33,Settings_ShiftLegends,0)+1))))</f>
        <v/>
      </c>
      <c r="G33" s="82">
        <f>IF(OR($C33="",G$7=""),"",IF(F33="",E33,INDEX(Settings_ShiftLegends,IF(MATCH(F33,Settings_ShiftLegends,0)+1&gt;COUNTA(Settings_ShiftLegends),1,MATCH(F33,Settings_ShiftLegends,0)+1))))</f>
        <v/>
      </c>
      <c r="H33" s="82">
        <f>IF(OR($C33="",H$7=""),"",IF(G33="",F33,INDEX(Settings_ShiftLegends,IF(MATCH(G33,Settings_ShiftLegends,0)+1&gt;COUNTA(Settings_ShiftLegends),1,MATCH(G33,Settings_ShiftLegends,0)+1))))</f>
        <v/>
      </c>
      <c r="I33" s="82">
        <f>IF(OR($C33="",I$7=""),"",IF(H33="",G33,INDEX(Settings_ShiftLegends,IF(MATCH(H33,Settings_ShiftLegends,0)+1&gt;COUNTA(Settings_ShiftLegends),1,MATCH(H33,Settings_ShiftLegends,0)+1))))</f>
        <v/>
      </c>
      <c r="J33" s="82">
        <f>IF(OR($C33="",J$7=""),"",IF(I33="",H33,INDEX(Settings_ShiftLegends,IF(MATCH(I33,Settings_ShiftLegends,0)+1&gt;COUNTA(Settings_ShiftLegends),1,MATCH(I33,Settings_ShiftLegends,0)+1))))</f>
        <v/>
      </c>
      <c r="K33" s="82">
        <f>IF(OR($C33="",K$7=""),"",IF(J33="",I33,INDEX(Settings_ShiftLegends,IF(MATCH(J33,Settings_ShiftLegends,0)+1&gt;COUNTA(Settings_ShiftLegends),1,MATCH(J33,Settings_ShiftLegends,0)+1))))</f>
        <v/>
      </c>
      <c r="L33" s="82">
        <f>IF(OR($C33="",L$7=""),"",IF(K33="",J33,INDEX(Settings_ShiftLegends,IF(MATCH(K33,Settings_ShiftLegends,0)+1&gt;COUNTA(Settings_ShiftLegends),1,MATCH(K33,Settings_ShiftLegends,0)+1))))</f>
        <v/>
      </c>
      <c r="M33" s="82">
        <f>IF(OR($C33="",M$7=""),"",IF(L33="",K33,INDEX(Settings_ShiftLegends,IF(MATCH(L33,Settings_ShiftLegends,0)+1&gt;COUNTA(Settings_ShiftLegends),1,MATCH(L33,Settings_ShiftLegends,0)+1))))</f>
        <v/>
      </c>
      <c r="N33" s="82">
        <f>IF(OR($C33="",N$7=""),"",IF(M33="",L33,INDEX(Settings_ShiftLegends,IF(MATCH(M33,Settings_ShiftLegends,0)+1&gt;COUNTA(Settings_ShiftLegends),1,MATCH(M33,Settings_ShiftLegends,0)+1))))</f>
        <v/>
      </c>
      <c r="O33" s="82">
        <f>IF(OR($C33="",O$7=""),"",IF(N33="",M33,INDEX(Settings_ShiftLegends,IF(MATCH(N33,Settings_ShiftLegends,0)+1&gt;COUNTA(Settings_ShiftLegends),1,MATCH(N33,Settings_ShiftLegends,0)+1))))</f>
        <v/>
      </c>
      <c r="P33" s="82">
        <f>IF(OR($C33="",P$7=""),"",IF(O33="",N33,INDEX(Settings_ShiftLegends,IF(MATCH(O33,Settings_ShiftLegends,0)+1&gt;COUNTA(Settings_ShiftLegends),1,MATCH(O33,Settings_ShiftLegends,0)+1))))</f>
        <v/>
      </c>
      <c r="Q33" s="82">
        <f>IF(OR($C33="",Q$7=""),"",IF(P33="",O33,INDEX(Settings_ShiftLegends,IF(MATCH(P33,Settings_ShiftLegends,0)+1&gt;COUNTA(Settings_ShiftLegends),1,MATCH(P33,Settings_ShiftLegends,0)+1))))</f>
        <v/>
      </c>
      <c r="R33" s="82">
        <f>IF(OR($C33="",R$7=""),"",IF(Q33="",P33,INDEX(Settings_ShiftLegends,IF(MATCH(Q33,Settings_ShiftLegends,0)+1&gt;COUNTA(Settings_ShiftLegends),1,MATCH(Q33,Settings_ShiftLegends,0)+1))))</f>
        <v/>
      </c>
      <c r="S33" s="82">
        <f>IF(OR($C33="",S$7=""),"",IF(R33="",Q33,INDEX(Settings_ShiftLegends,IF(MATCH(R33,Settings_ShiftLegends,0)+1&gt;COUNTA(Settings_ShiftLegends),1,MATCH(R33,Settings_ShiftLegends,0)+1))))</f>
        <v/>
      </c>
      <c r="T33" s="82">
        <f>IF(OR($C33="",T$7=""),"",IF(S33="",R33,INDEX(Settings_ShiftLegends,IF(MATCH(S33,Settings_ShiftLegends,0)+1&gt;COUNTA(Settings_ShiftLegends),1,MATCH(S33,Settings_ShiftLegends,0)+1))))</f>
        <v/>
      </c>
      <c r="U33" s="82">
        <f>IF(OR($C33="",U$7=""),"",IF(T33="",S33,INDEX(Settings_ShiftLegends,IF(MATCH(T33,Settings_ShiftLegends,0)+1&gt;COUNTA(Settings_ShiftLegends),1,MATCH(T33,Settings_ShiftLegends,0)+1))))</f>
        <v/>
      </c>
      <c r="V33" s="82">
        <f>IF(OR($C33="",V$7=""),"",IF(U33="",T33,INDEX(Settings_ShiftLegends,IF(MATCH(U33,Settings_ShiftLegends,0)+1&gt;COUNTA(Settings_ShiftLegends),1,MATCH(U33,Settings_ShiftLegends,0)+1))))</f>
        <v/>
      </c>
      <c r="W33" s="82">
        <f>IF(OR($C33="",W$7=""),"",IF(V33="",U33,INDEX(Settings_ShiftLegends,IF(MATCH(V33,Settings_ShiftLegends,0)+1&gt;COUNTA(Settings_ShiftLegends),1,MATCH(V33,Settings_ShiftLegends,0)+1))))</f>
        <v/>
      </c>
      <c r="X33" s="82">
        <f>IF(OR($C33="",X$7=""),"",IF(W33="",V33,INDEX(Settings_ShiftLegends,IF(MATCH(W33,Settings_ShiftLegends,0)+1&gt;COUNTA(Settings_ShiftLegends),1,MATCH(W33,Settings_ShiftLegends,0)+1))))</f>
        <v/>
      </c>
      <c r="Y33" s="82">
        <f>IF(OR($C33="",Y$7=""),"",IF(X33="",W33,INDEX(Settings_ShiftLegends,IF(MATCH(X33,Settings_ShiftLegends,0)+1&gt;COUNTA(Settings_ShiftLegends),1,MATCH(X33,Settings_ShiftLegends,0)+1))))</f>
        <v/>
      </c>
      <c r="Z33" s="82">
        <f>IF(OR($C33="",Z$7=""),"",IF(Y33="",X33,INDEX(Settings_ShiftLegends,IF(MATCH(Y33,Settings_ShiftLegends,0)+1&gt;COUNTA(Settings_ShiftLegends),1,MATCH(Y33,Settings_ShiftLegends,0)+1))))</f>
        <v/>
      </c>
      <c r="AA33" s="82">
        <f>IF(OR($C33="",AA$7=""),"",IF(Z33="",Y33,INDEX(Settings_ShiftLegends,IF(MATCH(Z33,Settings_ShiftLegends,0)+1&gt;COUNTA(Settings_ShiftLegends),1,MATCH(Z33,Settings_ShiftLegends,0)+1))))</f>
        <v/>
      </c>
      <c r="AB33" s="82">
        <f>IF(OR($C33="",AB$7=""),"",IF(AA33="",Z33,INDEX(Settings_ShiftLegends,IF(MATCH(AA33,Settings_ShiftLegends,0)+1&gt;COUNTA(Settings_ShiftLegends),1,MATCH(AA33,Settings_ShiftLegends,0)+1))))</f>
        <v/>
      </c>
      <c r="AC33" s="82">
        <f>IF(OR($C33="",AC$7=""),"",IF(AB33="",AA33,INDEX(Settings_ShiftLegends,IF(MATCH(AB33,Settings_ShiftLegends,0)+1&gt;COUNTA(Settings_ShiftLegends),1,MATCH(AB33,Settings_ShiftLegends,0)+1))))</f>
        <v/>
      </c>
      <c r="AD33" s="82">
        <f>IF(OR($C33="",AD$7=""),"",IF(AC33="",AB33,INDEX(Settings_ShiftLegends,IF(MATCH(AC33,Settings_ShiftLegends,0)+1&gt;COUNTA(Settings_ShiftLegends),1,MATCH(AC33,Settings_ShiftLegends,0)+1))))</f>
        <v/>
      </c>
      <c r="AE33" s="82">
        <f>IF(OR($C33="",AE$7=""),"",IF(AD33="",AC33,INDEX(Settings_ShiftLegends,IF(MATCH(AD33,Settings_ShiftLegends,0)+1&gt;COUNTA(Settings_ShiftLegends),1,MATCH(AD33,Settings_ShiftLegends,0)+1))))</f>
        <v/>
      </c>
      <c r="AF33" s="82">
        <f>IF(OR($C33="",AF$7=""),"",IF(AE33="",AD33,INDEX(Settings_ShiftLegends,IF(MATCH(AE33,Settings_ShiftLegends,0)+1&gt;COUNTA(Settings_ShiftLegends),1,MATCH(AE33,Settings_ShiftLegends,0)+1))))</f>
        <v/>
      </c>
      <c r="AG33" s="82">
        <f>IF(OR($C33="",AG$7=""),"",IF(AF33="",AE33,INDEX(Settings_ShiftLegends,IF(MATCH(AF33,Settings_ShiftLegends,0)+1&gt;COUNTA(Settings_ShiftLegends),1,MATCH(AF33,Settings_ShiftLegends,0)+1))))</f>
        <v/>
      </c>
      <c r="AH33" s="82">
        <f>IF(OR($C33="",AH$7=""),"",IF(AG33="",AF33,INDEX(Settings_ShiftLegends,IF(MATCH(AG33,Settings_ShiftLegends,0)+1&gt;COUNTA(Settings_ShiftLegends),1,MATCH(AG33,Settings_ShiftLegends,0)+1))))</f>
        <v/>
      </c>
      <c r="AI33" s="82">
        <f>IF(OR($C33="",AI$7=""),"",IF(AH33="",AG33,INDEX(Settings_ShiftLegends,IF(MATCH(AH33,Settings_ShiftLegends,0)+1&gt;COUNTA(Settings_ShiftLegends),1,MATCH(AH33,Settings_ShiftLegends,0)+1))))</f>
        <v/>
      </c>
      <c r="AK33" s="82">
        <f>COUNTIF($E33:$AI33,"M*")</f>
        <v/>
      </c>
      <c r="AL33" s="82">
        <f>COUNTIF($E33:$AI33,"A*")</f>
        <v/>
      </c>
      <c r="AM33" s="82">
        <f>COUNTIF($E33:$AI33,"N*")</f>
        <v/>
      </c>
      <c r="AN33" s="82">
        <f>COUNTIF($E33:$AI33,"O*")</f>
        <v/>
      </c>
    </row>
    <row r="34">
      <c r="B34" s="3" t="inlineStr">
        <is>
          <t>Employee -27</t>
        </is>
      </c>
      <c r="C34" s="3" t="inlineStr">
        <is>
          <t>A1</t>
        </is>
      </c>
      <c r="E34" s="82">
        <f>IF(OR($C34="",E$7=""),"",IF(D34="",C34,INDEX(Settings_ShiftLegends,IF(MATCH(D34,Settings_ShiftLegends,0)+1&gt;COUNTA(Settings_ShiftLegends),1,MATCH(D34,Settings_ShiftLegends,0)+1))))</f>
        <v/>
      </c>
      <c r="F34" s="82">
        <f>IF(OR($C34="",F$7=""),"",IF(E34="",D34,INDEX(Settings_ShiftLegends,IF(MATCH(E34,Settings_ShiftLegends,0)+1&gt;COUNTA(Settings_ShiftLegends),1,MATCH(E34,Settings_ShiftLegends,0)+1))))</f>
        <v/>
      </c>
      <c r="G34" s="82">
        <f>IF(OR($C34="",G$7=""),"",IF(F34="",E34,INDEX(Settings_ShiftLegends,IF(MATCH(F34,Settings_ShiftLegends,0)+1&gt;COUNTA(Settings_ShiftLegends),1,MATCH(F34,Settings_ShiftLegends,0)+1))))</f>
        <v/>
      </c>
      <c r="H34" s="82">
        <f>IF(OR($C34="",H$7=""),"",IF(G34="",F34,INDEX(Settings_ShiftLegends,IF(MATCH(G34,Settings_ShiftLegends,0)+1&gt;COUNTA(Settings_ShiftLegends),1,MATCH(G34,Settings_ShiftLegends,0)+1))))</f>
        <v/>
      </c>
      <c r="I34" s="82">
        <f>IF(OR($C34="",I$7=""),"",IF(H34="",G34,INDEX(Settings_ShiftLegends,IF(MATCH(H34,Settings_ShiftLegends,0)+1&gt;COUNTA(Settings_ShiftLegends),1,MATCH(H34,Settings_ShiftLegends,0)+1))))</f>
        <v/>
      </c>
      <c r="J34" s="82">
        <f>IF(OR($C34="",J$7=""),"",IF(I34="",H34,INDEX(Settings_ShiftLegends,IF(MATCH(I34,Settings_ShiftLegends,0)+1&gt;COUNTA(Settings_ShiftLegends),1,MATCH(I34,Settings_ShiftLegends,0)+1))))</f>
        <v/>
      </c>
      <c r="K34" s="82">
        <f>IF(OR($C34="",K$7=""),"",IF(J34="",I34,INDEX(Settings_ShiftLegends,IF(MATCH(J34,Settings_ShiftLegends,0)+1&gt;COUNTA(Settings_ShiftLegends),1,MATCH(J34,Settings_ShiftLegends,0)+1))))</f>
        <v/>
      </c>
      <c r="L34" s="82">
        <f>IF(OR($C34="",L$7=""),"",IF(K34="",J34,INDEX(Settings_ShiftLegends,IF(MATCH(K34,Settings_ShiftLegends,0)+1&gt;COUNTA(Settings_ShiftLegends),1,MATCH(K34,Settings_ShiftLegends,0)+1))))</f>
        <v/>
      </c>
      <c r="M34" s="82">
        <f>IF(OR($C34="",M$7=""),"",IF(L34="",K34,INDEX(Settings_ShiftLegends,IF(MATCH(L34,Settings_ShiftLegends,0)+1&gt;COUNTA(Settings_ShiftLegends),1,MATCH(L34,Settings_ShiftLegends,0)+1))))</f>
        <v/>
      </c>
      <c r="N34" s="82">
        <f>IF(OR($C34="",N$7=""),"",IF(M34="",L34,INDEX(Settings_ShiftLegends,IF(MATCH(M34,Settings_ShiftLegends,0)+1&gt;COUNTA(Settings_ShiftLegends),1,MATCH(M34,Settings_ShiftLegends,0)+1))))</f>
        <v/>
      </c>
      <c r="O34" s="82">
        <f>IF(OR($C34="",O$7=""),"",IF(N34="",M34,INDEX(Settings_ShiftLegends,IF(MATCH(N34,Settings_ShiftLegends,0)+1&gt;COUNTA(Settings_ShiftLegends),1,MATCH(N34,Settings_ShiftLegends,0)+1))))</f>
        <v/>
      </c>
      <c r="P34" s="82">
        <f>IF(OR($C34="",P$7=""),"",IF(O34="",N34,INDEX(Settings_ShiftLegends,IF(MATCH(O34,Settings_ShiftLegends,0)+1&gt;COUNTA(Settings_ShiftLegends),1,MATCH(O34,Settings_ShiftLegends,0)+1))))</f>
        <v/>
      </c>
      <c r="Q34" s="82">
        <f>IF(OR($C34="",Q$7=""),"",IF(P34="",O34,INDEX(Settings_ShiftLegends,IF(MATCH(P34,Settings_ShiftLegends,0)+1&gt;COUNTA(Settings_ShiftLegends),1,MATCH(P34,Settings_ShiftLegends,0)+1))))</f>
        <v/>
      </c>
      <c r="R34" s="82">
        <f>IF(OR($C34="",R$7=""),"",IF(Q34="",P34,INDEX(Settings_ShiftLegends,IF(MATCH(Q34,Settings_ShiftLegends,0)+1&gt;COUNTA(Settings_ShiftLegends),1,MATCH(Q34,Settings_ShiftLegends,0)+1))))</f>
        <v/>
      </c>
      <c r="S34" s="82">
        <f>IF(OR($C34="",S$7=""),"",IF(R34="",Q34,INDEX(Settings_ShiftLegends,IF(MATCH(R34,Settings_ShiftLegends,0)+1&gt;COUNTA(Settings_ShiftLegends),1,MATCH(R34,Settings_ShiftLegends,0)+1))))</f>
        <v/>
      </c>
      <c r="T34" s="82">
        <f>IF(OR($C34="",T$7=""),"",IF(S34="",R34,INDEX(Settings_ShiftLegends,IF(MATCH(S34,Settings_ShiftLegends,0)+1&gt;COUNTA(Settings_ShiftLegends),1,MATCH(S34,Settings_ShiftLegends,0)+1))))</f>
        <v/>
      </c>
      <c r="U34" s="82">
        <f>IF(OR($C34="",U$7=""),"",IF(T34="",S34,INDEX(Settings_ShiftLegends,IF(MATCH(T34,Settings_ShiftLegends,0)+1&gt;COUNTA(Settings_ShiftLegends),1,MATCH(T34,Settings_ShiftLegends,0)+1))))</f>
        <v/>
      </c>
      <c r="V34" s="82">
        <f>IF(OR($C34="",V$7=""),"",IF(U34="",T34,INDEX(Settings_ShiftLegends,IF(MATCH(U34,Settings_ShiftLegends,0)+1&gt;COUNTA(Settings_ShiftLegends),1,MATCH(U34,Settings_ShiftLegends,0)+1))))</f>
        <v/>
      </c>
      <c r="W34" s="82">
        <f>IF(OR($C34="",W$7=""),"",IF(V34="",U34,INDEX(Settings_ShiftLegends,IF(MATCH(V34,Settings_ShiftLegends,0)+1&gt;COUNTA(Settings_ShiftLegends),1,MATCH(V34,Settings_ShiftLegends,0)+1))))</f>
        <v/>
      </c>
      <c r="X34" s="82">
        <f>IF(OR($C34="",X$7=""),"",IF(W34="",V34,INDEX(Settings_ShiftLegends,IF(MATCH(W34,Settings_ShiftLegends,0)+1&gt;COUNTA(Settings_ShiftLegends),1,MATCH(W34,Settings_ShiftLegends,0)+1))))</f>
        <v/>
      </c>
      <c r="Y34" s="82">
        <f>IF(OR($C34="",Y$7=""),"",IF(X34="",W34,INDEX(Settings_ShiftLegends,IF(MATCH(X34,Settings_ShiftLegends,0)+1&gt;COUNTA(Settings_ShiftLegends),1,MATCH(X34,Settings_ShiftLegends,0)+1))))</f>
        <v/>
      </c>
      <c r="Z34" s="82">
        <f>IF(OR($C34="",Z$7=""),"",IF(Y34="",X34,INDEX(Settings_ShiftLegends,IF(MATCH(Y34,Settings_ShiftLegends,0)+1&gt;COUNTA(Settings_ShiftLegends),1,MATCH(Y34,Settings_ShiftLegends,0)+1))))</f>
        <v/>
      </c>
      <c r="AA34" s="82">
        <f>IF(OR($C34="",AA$7=""),"",IF(Z34="",Y34,INDEX(Settings_ShiftLegends,IF(MATCH(Z34,Settings_ShiftLegends,0)+1&gt;COUNTA(Settings_ShiftLegends),1,MATCH(Z34,Settings_ShiftLegends,0)+1))))</f>
        <v/>
      </c>
      <c r="AB34" s="82">
        <f>IF(OR($C34="",AB$7=""),"",IF(AA34="",Z34,INDEX(Settings_ShiftLegends,IF(MATCH(AA34,Settings_ShiftLegends,0)+1&gt;COUNTA(Settings_ShiftLegends),1,MATCH(AA34,Settings_ShiftLegends,0)+1))))</f>
        <v/>
      </c>
      <c r="AC34" s="82">
        <f>IF(OR($C34="",AC$7=""),"",IF(AB34="",AA34,INDEX(Settings_ShiftLegends,IF(MATCH(AB34,Settings_ShiftLegends,0)+1&gt;COUNTA(Settings_ShiftLegends),1,MATCH(AB34,Settings_ShiftLegends,0)+1))))</f>
        <v/>
      </c>
      <c r="AD34" s="82">
        <f>IF(OR($C34="",AD$7=""),"",IF(AC34="",AB34,INDEX(Settings_ShiftLegends,IF(MATCH(AC34,Settings_ShiftLegends,0)+1&gt;COUNTA(Settings_ShiftLegends),1,MATCH(AC34,Settings_ShiftLegends,0)+1))))</f>
        <v/>
      </c>
      <c r="AE34" s="82">
        <f>IF(OR($C34="",AE$7=""),"",IF(AD34="",AC34,INDEX(Settings_ShiftLegends,IF(MATCH(AD34,Settings_ShiftLegends,0)+1&gt;COUNTA(Settings_ShiftLegends),1,MATCH(AD34,Settings_ShiftLegends,0)+1))))</f>
        <v/>
      </c>
      <c r="AF34" s="82">
        <f>IF(OR($C34="",AF$7=""),"",IF(AE34="",AD34,INDEX(Settings_ShiftLegends,IF(MATCH(AE34,Settings_ShiftLegends,0)+1&gt;COUNTA(Settings_ShiftLegends),1,MATCH(AE34,Settings_ShiftLegends,0)+1))))</f>
        <v/>
      </c>
      <c r="AG34" s="82">
        <f>IF(OR($C34="",AG$7=""),"",IF(AF34="",AE34,INDEX(Settings_ShiftLegends,IF(MATCH(AF34,Settings_ShiftLegends,0)+1&gt;COUNTA(Settings_ShiftLegends),1,MATCH(AF34,Settings_ShiftLegends,0)+1))))</f>
        <v/>
      </c>
      <c r="AH34" s="82">
        <f>IF(OR($C34="",AH$7=""),"",IF(AG34="",AF34,INDEX(Settings_ShiftLegends,IF(MATCH(AG34,Settings_ShiftLegends,0)+1&gt;COUNTA(Settings_ShiftLegends),1,MATCH(AG34,Settings_ShiftLegends,0)+1))))</f>
        <v/>
      </c>
      <c r="AI34" s="82">
        <f>IF(OR($C34="",AI$7=""),"",IF(AH34="",AG34,INDEX(Settings_ShiftLegends,IF(MATCH(AH34,Settings_ShiftLegends,0)+1&gt;COUNTA(Settings_ShiftLegends),1,MATCH(AH34,Settings_ShiftLegends,0)+1))))</f>
        <v/>
      </c>
      <c r="AK34" s="82">
        <f>COUNTIF($E34:$AI34,"M*")</f>
        <v/>
      </c>
      <c r="AL34" s="82">
        <f>COUNTIF($E34:$AI34,"A*")</f>
        <v/>
      </c>
      <c r="AM34" s="82">
        <f>COUNTIF($E34:$AI34,"N*")</f>
        <v/>
      </c>
      <c r="AN34" s="82">
        <f>COUNTIF($E34:$AI34,"O*")</f>
        <v/>
      </c>
    </row>
    <row r="35">
      <c r="B35" s="3" t="inlineStr">
        <is>
          <t>Employee -28</t>
        </is>
      </c>
      <c r="C35" s="3" t="inlineStr">
        <is>
          <t>N1</t>
        </is>
      </c>
      <c r="E35" s="82">
        <f>IF(OR($C35="",E$7=""),"",IF(D35="",C35,INDEX(Settings_ShiftLegends,IF(MATCH(D35,Settings_ShiftLegends,0)+1&gt;COUNTA(Settings_ShiftLegends),1,MATCH(D35,Settings_ShiftLegends,0)+1))))</f>
        <v/>
      </c>
      <c r="F35" s="82">
        <f>IF(OR($C35="",F$7=""),"",IF(E35="",D35,INDEX(Settings_ShiftLegends,IF(MATCH(E35,Settings_ShiftLegends,0)+1&gt;COUNTA(Settings_ShiftLegends),1,MATCH(E35,Settings_ShiftLegends,0)+1))))</f>
        <v/>
      </c>
      <c r="G35" s="82">
        <f>IF(OR($C35="",G$7=""),"",IF(F35="",E35,INDEX(Settings_ShiftLegends,IF(MATCH(F35,Settings_ShiftLegends,0)+1&gt;COUNTA(Settings_ShiftLegends),1,MATCH(F35,Settings_ShiftLegends,0)+1))))</f>
        <v/>
      </c>
      <c r="H35" s="82">
        <f>IF(OR($C35="",H$7=""),"",IF(G35="",F35,INDEX(Settings_ShiftLegends,IF(MATCH(G35,Settings_ShiftLegends,0)+1&gt;COUNTA(Settings_ShiftLegends),1,MATCH(G35,Settings_ShiftLegends,0)+1))))</f>
        <v/>
      </c>
      <c r="I35" s="82">
        <f>IF(OR($C35="",I$7=""),"",IF(H35="",G35,INDEX(Settings_ShiftLegends,IF(MATCH(H35,Settings_ShiftLegends,0)+1&gt;COUNTA(Settings_ShiftLegends),1,MATCH(H35,Settings_ShiftLegends,0)+1))))</f>
        <v/>
      </c>
      <c r="J35" s="82">
        <f>IF(OR($C35="",J$7=""),"",IF(I35="",H35,INDEX(Settings_ShiftLegends,IF(MATCH(I35,Settings_ShiftLegends,0)+1&gt;COUNTA(Settings_ShiftLegends),1,MATCH(I35,Settings_ShiftLegends,0)+1))))</f>
        <v/>
      </c>
      <c r="K35" s="82">
        <f>IF(OR($C35="",K$7=""),"",IF(J35="",I35,INDEX(Settings_ShiftLegends,IF(MATCH(J35,Settings_ShiftLegends,0)+1&gt;COUNTA(Settings_ShiftLegends),1,MATCH(J35,Settings_ShiftLegends,0)+1))))</f>
        <v/>
      </c>
      <c r="L35" s="82">
        <f>IF(OR($C35="",L$7=""),"",IF(K35="",J35,INDEX(Settings_ShiftLegends,IF(MATCH(K35,Settings_ShiftLegends,0)+1&gt;COUNTA(Settings_ShiftLegends),1,MATCH(K35,Settings_ShiftLegends,0)+1))))</f>
        <v/>
      </c>
      <c r="M35" s="82">
        <f>IF(OR($C35="",M$7=""),"",IF(L35="",K35,INDEX(Settings_ShiftLegends,IF(MATCH(L35,Settings_ShiftLegends,0)+1&gt;COUNTA(Settings_ShiftLegends),1,MATCH(L35,Settings_ShiftLegends,0)+1))))</f>
        <v/>
      </c>
      <c r="N35" s="82">
        <f>IF(OR($C35="",N$7=""),"",IF(M35="",L35,INDEX(Settings_ShiftLegends,IF(MATCH(M35,Settings_ShiftLegends,0)+1&gt;COUNTA(Settings_ShiftLegends),1,MATCH(M35,Settings_ShiftLegends,0)+1))))</f>
        <v/>
      </c>
      <c r="O35" s="82">
        <f>IF(OR($C35="",O$7=""),"",IF(N35="",M35,INDEX(Settings_ShiftLegends,IF(MATCH(N35,Settings_ShiftLegends,0)+1&gt;COUNTA(Settings_ShiftLegends),1,MATCH(N35,Settings_ShiftLegends,0)+1))))</f>
        <v/>
      </c>
      <c r="P35" s="82">
        <f>IF(OR($C35="",P$7=""),"",IF(O35="",N35,INDEX(Settings_ShiftLegends,IF(MATCH(O35,Settings_ShiftLegends,0)+1&gt;COUNTA(Settings_ShiftLegends),1,MATCH(O35,Settings_ShiftLegends,0)+1))))</f>
        <v/>
      </c>
      <c r="Q35" s="82">
        <f>IF(OR($C35="",Q$7=""),"",IF(P35="",O35,INDEX(Settings_ShiftLegends,IF(MATCH(P35,Settings_ShiftLegends,0)+1&gt;COUNTA(Settings_ShiftLegends),1,MATCH(P35,Settings_ShiftLegends,0)+1))))</f>
        <v/>
      </c>
      <c r="R35" s="82">
        <f>IF(OR($C35="",R$7=""),"",IF(Q35="",P35,INDEX(Settings_ShiftLegends,IF(MATCH(Q35,Settings_ShiftLegends,0)+1&gt;COUNTA(Settings_ShiftLegends),1,MATCH(Q35,Settings_ShiftLegends,0)+1))))</f>
        <v/>
      </c>
      <c r="S35" s="82">
        <f>IF(OR($C35="",S$7=""),"",IF(R35="",Q35,INDEX(Settings_ShiftLegends,IF(MATCH(R35,Settings_ShiftLegends,0)+1&gt;COUNTA(Settings_ShiftLegends),1,MATCH(R35,Settings_ShiftLegends,0)+1))))</f>
        <v/>
      </c>
      <c r="T35" s="82">
        <f>IF(OR($C35="",T$7=""),"",IF(S35="",R35,INDEX(Settings_ShiftLegends,IF(MATCH(S35,Settings_ShiftLegends,0)+1&gt;COUNTA(Settings_ShiftLegends),1,MATCH(S35,Settings_ShiftLegends,0)+1))))</f>
        <v/>
      </c>
      <c r="U35" s="82">
        <f>IF(OR($C35="",U$7=""),"",IF(T35="",S35,INDEX(Settings_ShiftLegends,IF(MATCH(T35,Settings_ShiftLegends,0)+1&gt;COUNTA(Settings_ShiftLegends),1,MATCH(T35,Settings_ShiftLegends,0)+1))))</f>
        <v/>
      </c>
      <c r="V35" s="82">
        <f>IF(OR($C35="",V$7=""),"",IF(U35="",T35,INDEX(Settings_ShiftLegends,IF(MATCH(U35,Settings_ShiftLegends,0)+1&gt;COUNTA(Settings_ShiftLegends),1,MATCH(U35,Settings_ShiftLegends,0)+1))))</f>
        <v/>
      </c>
      <c r="W35" s="82">
        <f>IF(OR($C35="",W$7=""),"",IF(V35="",U35,INDEX(Settings_ShiftLegends,IF(MATCH(V35,Settings_ShiftLegends,0)+1&gt;COUNTA(Settings_ShiftLegends),1,MATCH(V35,Settings_ShiftLegends,0)+1))))</f>
        <v/>
      </c>
      <c r="X35" s="82">
        <f>IF(OR($C35="",X$7=""),"",IF(W35="",V35,INDEX(Settings_ShiftLegends,IF(MATCH(W35,Settings_ShiftLegends,0)+1&gt;COUNTA(Settings_ShiftLegends),1,MATCH(W35,Settings_ShiftLegends,0)+1))))</f>
        <v/>
      </c>
      <c r="Y35" s="82">
        <f>IF(OR($C35="",Y$7=""),"",IF(X35="",W35,INDEX(Settings_ShiftLegends,IF(MATCH(X35,Settings_ShiftLegends,0)+1&gt;COUNTA(Settings_ShiftLegends),1,MATCH(X35,Settings_ShiftLegends,0)+1))))</f>
        <v/>
      </c>
      <c r="Z35" s="82">
        <f>IF(OR($C35="",Z$7=""),"",IF(Y35="",X35,INDEX(Settings_ShiftLegends,IF(MATCH(Y35,Settings_ShiftLegends,0)+1&gt;COUNTA(Settings_ShiftLegends),1,MATCH(Y35,Settings_ShiftLegends,0)+1))))</f>
        <v/>
      </c>
      <c r="AA35" s="82">
        <f>IF(OR($C35="",AA$7=""),"",IF(Z35="",Y35,INDEX(Settings_ShiftLegends,IF(MATCH(Z35,Settings_ShiftLegends,0)+1&gt;COUNTA(Settings_ShiftLegends),1,MATCH(Z35,Settings_ShiftLegends,0)+1))))</f>
        <v/>
      </c>
      <c r="AB35" s="82">
        <f>IF(OR($C35="",AB$7=""),"",IF(AA35="",Z35,INDEX(Settings_ShiftLegends,IF(MATCH(AA35,Settings_ShiftLegends,0)+1&gt;COUNTA(Settings_ShiftLegends),1,MATCH(AA35,Settings_ShiftLegends,0)+1))))</f>
        <v/>
      </c>
      <c r="AC35" s="82">
        <f>IF(OR($C35="",AC$7=""),"",IF(AB35="",AA35,INDEX(Settings_ShiftLegends,IF(MATCH(AB35,Settings_ShiftLegends,0)+1&gt;COUNTA(Settings_ShiftLegends),1,MATCH(AB35,Settings_ShiftLegends,0)+1))))</f>
        <v/>
      </c>
      <c r="AD35" s="82">
        <f>IF(OR($C35="",AD$7=""),"",IF(AC35="",AB35,INDEX(Settings_ShiftLegends,IF(MATCH(AC35,Settings_ShiftLegends,0)+1&gt;COUNTA(Settings_ShiftLegends),1,MATCH(AC35,Settings_ShiftLegends,0)+1))))</f>
        <v/>
      </c>
      <c r="AE35" s="82">
        <f>IF(OR($C35="",AE$7=""),"",IF(AD35="",AC35,INDEX(Settings_ShiftLegends,IF(MATCH(AD35,Settings_ShiftLegends,0)+1&gt;COUNTA(Settings_ShiftLegends),1,MATCH(AD35,Settings_ShiftLegends,0)+1))))</f>
        <v/>
      </c>
      <c r="AF35" s="82">
        <f>IF(OR($C35="",AF$7=""),"",IF(AE35="",AD35,INDEX(Settings_ShiftLegends,IF(MATCH(AE35,Settings_ShiftLegends,0)+1&gt;COUNTA(Settings_ShiftLegends),1,MATCH(AE35,Settings_ShiftLegends,0)+1))))</f>
        <v/>
      </c>
      <c r="AG35" s="82">
        <f>IF(OR($C35="",AG$7=""),"",IF(AF35="",AE35,INDEX(Settings_ShiftLegends,IF(MATCH(AF35,Settings_ShiftLegends,0)+1&gt;COUNTA(Settings_ShiftLegends),1,MATCH(AF35,Settings_ShiftLegends,0)+1))))</f>
        <v/>
      </c>
      <c r="AH35" s="82">
        <f>IF(OR($C35="",AH$7=""),"",IF(AG35="",AF35,INDEX(Settings_ShiftLegends,IF(MATCH(AG35,Settings_ShiftLegends,0)+1&gt;COUNTA(Settings_ShiftLegends),1,MATCH(AG35,Settings_ShiftLegends,0)+1))))</f>
        <v/>
      </c>
      <c r="AI35" s="82">
        <f>IF(OR($C35="",AI$7=""),"",IF(AH35="",AG35,INDEX(Settings_ShiftLegends,IF(MATCH(AH35,Settings_ShiftLegends,0)+1&gt;COUNTA(Settings_ShiftLegends),1,MATCH(AH35,Settings_ShiftLegends,0)+1))))</f>
        <v/>
      </c>
      <c r="AK35" s="82">
        <f>COUNTIF($E35:$AI35,"M*")</f>
        <v/>
      </c>
      <c r="AL35" s="82">
        <f>COUNTIF($E35:$AI35,"A*")</f>
        <v/>
      </c>
      <c r="AM35" s="82">
        <f>COUNTIF($E35:$AI35,"N*")</f>
        <v/>
      </c>
      <c r="AN35" s="82">
        <f>COUNTIF($E35:$AI35,"O*")</f>
        <v/>
      </c>
    </row>
    <row r="36">
      <c r="B36" s="3" t="inlineStr">
        <is>
          <t>Employee -29</t>
        </is>
      </c>
      <c r="C36" s="3" t="inlineStr">
        <is>
          <t>N2</t>
        </is>
      </c>
      <c r="E36" s="82">
        <f>IF(OR($C36="",E$7=""),"",IF(D36="",C36,INDEX(Settings_ShiftLegends,IF(MATCH(D36,Settings_ShiftLegends,0)+1&gt;COUNTA(Settings_ShiftLegends),1,MATCH(D36,Settings_ShiftLegends,0)+1))))</f>
        <v/>
      </c>
      <c r="F36" s="82">
        <f>IF(OR($C36="",F$7=""),"",IF(E36="",D36,INDEX(Settings_ShiftLegends,IF(MATCH(E36,Settings_ShiftLegends,0)+1&gt;COUNTA(Settings_ShiftLegends),1,MATCH(E36,Settings_ShiftLegends,0)+1))))</f>
        <v/>
      </c>
      <c r="G36" s="82">
        <f>IF(OR($C36="",G$7=""),"",IF(F36="",E36,INDEX(Settings_ShiftLegends,IF(MATCH(F36,Settings_ShiftLegends,0)+1&gt;COUNTA(Settings_ShiftLegends),1,MATCH(F36,Settings_ShiftLegends,0)+1))))</f>
        <v/>
      </c>
      <c r="H36" s="82">
        <f>IF(OR($C36="",H$7=""),"",IF(G36="",F36,INDEX(Settings_ShiftLegends,IF(MATCH(G36,Settings_ShiftLegends,0)+1&gt;COUNTA(Settings_ShiftLegends),1,MATCH(G36,Settings_ShiftLegends,0)+1))))</f>
        <v/>
      </c>
      <c r="I36" s="82">
        <f>IF(OR($C36="",I$7=""),"",IF(H36="",G36,INDEX(Settings_ShiftLegends,IF(MATCH(H36,Settings_ShiftLegends,0)+1&gt;COUNTA(Settings_ShiftLegends),1,MATCH(H36,Settings_ShiftLegends,0)+1))))</f>
        <v/>
      </c>
      <c r="J36" s="82">
        <f>IF(OR($C36="",J$7=""),"",IF(I36="",H36,INDEX(Settings_ShiftLegends,IF(MATCH(I36,Settings_ShiftLegends,0)+1&gt;COUNTA(Settings_ShiftLegends),1,MATCH(I36,Settings_ShiftLegends,0)+1))))</f>
        <v/>
      </c>
      <c r="K36" s="82">
        <f>IF(OR($C36="",K$7=""),"",IF(J36="",I36,INDEX(Settings_ShiftLegends,IF(MATCH(J36,Settings_ShiftLegends,0)+1&gt;COUNTA(Settings_ShiftLegends),1,MATCH(J36,Settings_ShiftLegends,0)+1))))</f>
        <v/>
      </c>
      <c r="L36" s="82">
        <f>IF(OR($C36="",L$7=""),"",IF(K36="",J36,INDEX(Settings_ShiftLegends,IF(MATCH(K36,Settings_ShiftLegends,0)+1&gt;COUNTA(Settings_ShiftLegends),1,MATCH(K36,Settings_ShiftLegends,0)+1))))</f>
        <v/>
      </c>
      <c r="M36" s="82">
        <f>IF(OR($C36="",M$7=""),"",IF(L36="",K36,INDEX(Settings_ShiftLegends,IF(MATCH(L36,Settings_ShiftLegends,0)+1&gt;COUNTA(Settings_ShiftLegends),1,MATCH(L36,Settings_ShiftLegends,0)+1))))</f>
        <v/>
      </c>
      <c r="N36" s="82">
        <f>IF(OR($C36="",N$7=""),"",IF(M36="",L36,INDEX(Settings_ShiftLegends,IF(MATCH(M36,Settings_ShiftLegends,0)+1&gt;COUNTA(Settings_ShiftLegends),1,MATCH(M36,Settings_ShiftLegends,0)+1))))</f>
        <v/>
      </c>
      <c r="O36" s="82">
        <f>IF(OR($C36="",O$7=""),"",IF(N36="",M36,INDEX(Settings_ShiftLegends,IF(MATCH(N36,Settings_ShiftLegends,0)+1&gt;COUNTA(Settings_ShiftLegends),1,MATCH(N36,Settings_ShiftLegends,0)+1))))</f>
        <v/>
      </c>
      <c r="P36" s="82">
        <f>IF(OR($C36="",P$7=""),"",IF(O36="",N36,INDEX(Settings_ShiftLegends,IF(MATCH(O36,Settings_ShiftLegends,0)+1&gt;COUNTA(Settings_ShiftLegends),1,MATCH(O36,Settings_ShiftLegends,0)+1))))</f>
        <v/>
      </c>
      <c r="Q36" s="82">
        <f>IF(OR($C36="",Q$7=""),"",IF(P36="",O36,INDEX(Settings_ShiftLegends,IF(MATCH(P36,Settings_ShiftLegends,0)+1&gt;COUNTA(Settings_ShiftLegends),1,MATCH(P36,Settings_ShiftLegends,0)+1))))</f>
        <v/>
      </c>
      <c r="R36" s="82">
        <f>IF(OR($C36="",R$7=""),"",IF(Q36="",P36,INDEX(Settings_ShiftLegends,IF(MATCH(Q36,Settings_ShiftLegends,0)+1&gt;COUNTA(Settings_ShiftLegends),1,MATCH(Q36,Settings_ShiftLegends,0)+1))))</f>
        <v/>
      </c>
      <c r="S36" s="82">
        <f>IF(OR($C36="",S$7=""),"",IF(R36="",Q36,INDEX(Settings_ShiftLegends,IF(MATCH(R36,Settings_ShiftLegends,0)+1&gt;COUNTA(Settings_ShiftLegends),1,MATCH(R36,Settings_ShiftLegends,0)+1))))</f>
        <v/>
      </c>
      <c r="T36" s="82">
        <f>IF(OR($C36="",T$7=""),"",IF(S36="",R36,INDEX(Settings_ShiftLegends,IF(MATCH(S36,Settings_ShiftLegends,0)+1&gt;COUNTA(Settings_ShiftLegends),1,MATCH(S36,Settings_ShiftLegends,0)+1))))</f>
        <v/>
      </c>
      <c r="U36" s="82">
        <f>IF(OR($C36="",U$7=""),"",IF(T36="",S36,INDEX(Settings_ShiftLegends,IF(MATCH(T36,Settings_ShiftLegends,0)+1&gt;COUNTA(Settings_ShiftLegends),1,MATCH(T36,Settings_ShiftLegends,0)+1))))</f>
        <v/>
      </c>
      <c r="V36" s="82">
        <f>IF(OR($C36="",V$7=""),"",IF(U36="",T36,INDEX(Settings_ShiftLegends,IF(MATCH(U36,Settings_ShiftLegends,0)+1&gt;COUNTA(Settings_ShiftLegends),1,MATCH(U36,Settings_ShiftLegends,0)+1))))</f>
        <v/>
      </c>
      <c r="W36" s="82">
        <f>IF(OR($C36="",W$7=""),"",IF(V36="",U36,INDEX(Settings_ShiftLegends,IF(MATCH(V36,Settings_ShiftLegends,0)+1&gt;COUNTA(Settings_ShiftLegends),1,MATCH(V36,Settings_ShiftLegends,0)+1))))</f>
        <v/>
      </c>
      <c r="X36" s="82">
        <f>IF(OR($C36="",X$7=""),"",IF(W36="",V36,INDEX(Settings_ShiftLegends,IF(MATCH(W36,Settings_ShiftLegends,0)+1&gt;COUNTA(Settings_ShiftLegends),1,MATCH(W36,Settings_ShiftLegends,0)+1))))</f>
        <v/>
      </c>
      <c r="Y36" s="82">
        <f>IF(OR($C36="",Y$7=""),"",IF(X36="",W36,INDEX(Settings_ShiftLegends,IF(MATCH(X36,Settings_ShiftLegends,0)+1&gt;COUNTA(Settings_ShiftLegends),1,MATCH(X36,Settings_ShiftLegends,0)+1))))</f>
        <v/>
      </c>
      <c r="Z36" s="82">
        <f>IF(OR($C36="",Z$7=""),"",IF(Y36="",X36,INDEX(Settings_ShiftLegends,IF(MATCH(Y36,Settings_ShiftLegends,0)+1&gt;COUNTA(Settings_ShiftLegends),1,MATCH(Y36,Settings_ShiftLegends,0)+1))))</f>
        <v/>
      </c>
      <c r="AA36" s="82">
        <f>IF(OR($C36="",AA$7=""),"",IF(Z36="",Y36,INDEX(Settings_ShiftLegends,IF(MATCH(Z36,Settings_ShiftLegends,0)+1&gt;COUNTA(Settings_ShiftLegends),1,MATCH(Z36,Settings_ShiftLegends,0)+1))))</f>
        <v/>
      </c>
      <c r="AB36" s="82">
        <f>IF(OR($C36="",AB$7=""),"",IF(AA36="",Z36,INDEX(Settings_ShiftLegends,IF(MATCH(AA36,Settings_ShiftLegends,0)+1&gt;COUNTA(Settings_ShiftLegends),1,MATCH(AA36,Settings_ShiftLegends,0)+1))))</f>
        <v/>
      </c>
      <c r="AC36" s="82">
        <f>IF(OR($C36="",AC$7=""),"",IF(AB36="",AA36,INDEX(Settings_ShiftLegends,IF(MATCH(AB36,Settings_ShiftLegends,0)+1&gt;COUNTA(Settings_ShiftLegends),1,MATCH(AB36,Settings_ShiftLegends,0)+1))))</f>
        <v/>
      </c>
      <c r="AD36" s="82">
        <f>IF(OR($C36="",AD$7=""),"",IF(AC36="",AB36,INDEX(Settings_ShiftLegends,IF(MATCH(AC36,Settings_ShiftLegends,0)+1&gt;COUNTA(Settings_ShiftLegends),1,MATCH(AC36,Settings_ShiftLegends,0)+1))))</f>
        <v/>
      </c>
      <c r="AE36" s="82">
        <f>IF(OR($C36="",AE$7=""),"",IF(AD36="",AC36,INDEX(Settings_ShiftLegends,IF(MATCH(AD36,Settings_ShiftLegends,0)+1&gt;COUNTA(Settings_ShiftLegends),1,MATCH(AD36,Settings_ShiftLegends,0)+1))))</f>
        <v/>
      </c>
      <c r="AF36" s="82">
        <f>IF(OR($C36="",AF$7=""),"",IF(AE36="",AD36,INDEX(Settings_ShiftLegends,IF(MATCH(AE36,Settings_ShiftLegends,0)+1&gt;COUNTA(Settings_ShiftLegends),1,MATCH(AE36,Settings_ShiftLegends,0)+1))))</f>
        <v/>
      </c>
      <c r="AG36" s="82">
        <f>IF(OR($C36="",AG$7=""),"",IF(AF36="",AE36,INDEX(Settings_ShiftLegends,IF(MATCH(AF36,Settings_ShiftLegends,0)+1&gt;COUNTA(Settings_ShiftLegends),1,MATCH(AF36,Settings_ShiftLegends,0)+1))))</f>
        <v/>
      </c>
      <c r="AH36" s="82">
        <f>IF(OR($C36="",AH$7=""),"",IF(AG36="",AF36,INDEX(Settings_ShiftLegends,IF(MATCH(AG36,Settings_ShiftLegends,0)+1&gt;COUNTA(Settings_ShiftLegends),1,MATCH(AG36,Settings_ShiftLegends,0)+1))))</f>
        <v/>
      </c>
      <c r="AI36" s="82">
        <f>IF(OR($C36="",AI$7=""),"",IF(AH36="",AG36,INDEX(Settings_ShiftLegends,IF(MATCH(AH36,Settings_ShiftLegends,0)+1&gt;COUNTA(Settings_ShiftLegends),1,MATCH(AH36,Settings_ShiftLegends,0)+1))))</f>
        <v/>
      </c>
      <c r="AK36" s="82">
        <f>COUNTIF($E36:$AI36,"M*")</f>
        <v/>
      </c>
      <c r="AL36" s="82">
        <f>COUNTIF($E36:$AI36,"A*")</f>
        <v/>
      </c>
      <c r="AM36" s="82">
        <f>COUNTIF($E36:$AI36,"N*")</f>
        <v/>
      </c>
      <c r="AN36" s="82">
        <f>COUNTIF($E36:$AI36,"O*")</f>
        <v/>
      </c>
    </row>
    <row r="37">
      <c r="B37" s="3" t="inlineStr">
        <is>
          <t>Employee -30</t>
        </is>
      </c>
      <c r="C37" s="3" t="inlineStr">
        <is>
          <t>O1</t>
        </is>
      </c>
      <c r="E37" s="82">
        <f>IF(OR($C37="",E$7=""),"",IF(D37="",C37,INDEX(Settings_ShiftLegends,IF(MATCH(D37,Settings_ShiftLegends,0)+1&gt;COUNTA(Settings_ShiftLegends),1,MATCH(D37,Settings_ShiftLegends,0)+1))))</f>
        <v/>
      </c>
      <c r="F37" s="82">
        <f>IF(OR($C37="",F$7=""),"",IF(E37="",D37,INDEX(Settings_ShiftLegends,IF(MATCH(E37,Settings_ShiftLegends,0)+1&gt;COUNTA(Settings_ShiftLegends),1,MATCH(E37,Settings_ShiftLegends,0)+1))))</f>
        <v/>
      </c>
      <c r="G37" s="82">
        <f>IF(OR($C37="",G$7=""),"",IF(F37="",E37,INDEX(Settings_ShiftLegends,IF(MATCH(F37,Settings_ShiftLegends,0)+1&gt;COUNTA(Settings_ShiftLegends),1,MATCH(F37,Settings_ShiftLegends,0)+1))))</f>
        <v/>
      </c>
      <c r="H37" s="82">
        <f>IF(OR($C37="",H$7=""),"",IF(G37="",F37,INDEX(Settings_ShiftLegends,IF(MATCH(G37,Settings_ShiftLegends,0)+1&gt;COUNTA(Settings_ShiftLegends),1,MATCH(G37,Settings_ShiftLegends,0)+1))))</f>
        <v/>
      </c>
      <c r="I37" s="82">
        <f>IF(OR($C37="",I$7=""),"",IF(H37="",G37,INDEX(Settings_ShiftLegends,IF(MATCH(H37,Settings_ShiftLegends,0)+1&gt;COUNTA(Settings_ShiftLegends),1,MATCH(H37,Settings_ShiftLegends,0)+1))))</f>
        <v/>
      </c>
      <c r="J37" s="82">
        <f>IF(OR($C37="",J$7=""),"",IF(I37="",H37,INDEX(Settings_ShiftLegends,IF(MATCH(I37,Settings_ShiftLegends,0)+1&gt;COUNTA(Settings_ShiftLegends),1,MATCH(I37,Settings_ShiftLegends,0)+1))))</f>
        <v/>
      </c>
      <c r="K37" s="82">
        <f>IF(OR($C37="",K$7=""),"",IF(J37="",I37,INDEX(Settings_ShiftLegends,IF(MATCH(J37,Settings_ShiftLegends,0)+1&gt;COUNTA(Settings_ShiftLegends),1,MATCH(J37,Settings_ShiftLegends,0)+1))))</f>
        <v/>
      </c>
      <c r="L37" s="82">
        <f>IF(OR($C37="",L$7=""),"",IF(K37="",J37,INDEX(Settings_ShiftLegends,IF(MATCH(K37,Settings_ShiftLegends,0)+1&gt;COUNTA(Settings_ShiftLegends),1,MATCH(K37,Settings_ShiftLegends,0)+1))))</f>
        <v/>
      </c>
      <c r="M37" s="82">
        <f>IF(OR($C37="",M$7=""),"",IF(L37="",K37,INDEX(Settings_ShiftLegends,IF(MATCH(L37,Settings_ShiftLegends,0)+1&gt;COUNTA(Settings_ShiftLegends),1,MATCH(L37,Settings_ShiftLegends,0)+1))))</f>
        <v/>
      </c>
      <c r="N37" s="82">
        <f>IF(OR($C37="",N$7=""),"",IF(M37="",L37,INDEX(Settings_ShiftLegends,IF(MATCH(M37,Settings_ShiftLegends,0)+1&gt;COUNTA(Settings_ShiftLegends),1,MATCH(M37,Settings_ShiftLegends,0)+1))))</f>
        <v/>
      </c>
      <c r="O37" s="82">
        <f>IF(OR($C37="",O$7=""),"",IF(N37="",M37,INDEX(Settings_ShiftLegends,IF(MATCH(N37,Settings_ShiftLegends,0)+1&gt;COUNTA(Settings_ShiftLegends),1,MATCH(N37,Settings_ShiftLegends,0)+1))))</f>
        <v/>
      </c>
      <c r="P37" s="82">
        <f>IF(OR($C37="",P$7=""),"",IF(O37="",N37,INDEX(Settings_ShiftLegends,IF(MATCH(O37,Settings_ShiftLegends,0)+1&gt;COUNTA(Settings_ShiftLegends),1,MATCH(O37,Settings_ShiftLegends,0)+1))))</f>
        <v/>
      </c>
      <c r="Q37" s="82">
        <f>IF(OR($C37="",Q$7=""),"",IF(P37="",O37,INDEX(Settings_ShiftLegends,IF(MATCH(P37,Settings_ShiftLegends,0)+1&gt;COUNTA(Settings_ShiftLegends),1,MATCH(P37,Settings_ShiftLegends,0)+1))))</f>
        <v/>
      </c>
      <c r="R37" s="82">
        <f>IF(OR($C37="",R$7=""),"",IF(Q37="",P37,INDEX(Settings_ShiftLegends,IF(MATCH(Q37,Settings_ShiftLegends,0)+1&gt;COUNTA(Settings_ShiftLegends),1,MATCH(Q37,Settings_ShiftLegends,0)+1))))</f>
        <v/>
      </c>
      <c r="S37" s="82">
        <f>IF(OR($C37="",S$7=""),"",IF(R37="",Q37,INDEX(Settings_ShiftLegends,IF(MATCH(R37,Settings_ShiftLegends,0)+1&gt;COUNTA(Settings_ShiftLegends),1,MATCH(R37,Settings_ShiftLegends,0)+1))))</f>
        <v/>
      </c>
      <c r="T37" s="82">
        <f>IF(OR($C37="",T$7=""),"",IF(S37="",R37,INDEX(Settings_ShiftLegends,IF(MATCH(S37,Settings_ShiftLegends,0)+1&gt;COUNTA(Settings_ShiftLegends),1,MATCH(S37,Settings_ShiftLegends,0)+1))))</f>
        <v/>
      </c>
      <c r="U37" s="82">
        <f>IF(OR($C37="",U$7=""),"",IF(T37="",S37,INDEX(Settings_ShiftLegends,IF(MATCH(T37,Settings_ShiftLegends,0)+1&gt;COUNTA(Settings_ShiftLegends),1,MATCH(T37,Settings_ShiftLegends,0)+1))))</f>
        <v/>
      </c>
      <c r="V37" s="82">
        <f>IF(OR($C37="",V$7=""),"",IF(U37="",T37,INDEX(Settings_ShiftLegends,IF(MATCH(U37,Settings_ShiftLegends,0)+1&gt;COUNTA(Settings_ShiftLegends),1,MATCH(U37,Settings_ShiftLegends,0)+1))))</f>
        <v/>
      </c>
      <c r="W37" s="82">
        <f>IF(OR($C37="",W$7=""),"",IF(V37="",U37,INDEX(Settings_ShiftLegends,IF(MATCH(V37,Settings_ShiftLegends,0)+1&gt;COUNTA(Settings_ShiftLegends),1,MATCH(V37,Settings_ShiftLegends,0)+1))))</f>
        <v/>
      </c>
      <c r="X37" s="82">
        <f>IF(OR($C37="",X$7=""),"",IF(W37="",V37,INDEX(Settings_ShiftLegends,IF(MATCH(W37,Settings_ShiftLegends,0)+1&gt;COUNTA(Settings_ShiftLegends),1,MATCH(W37,Settings_ShiftLegends,0)+1))))</f>
        <v/>
      </c>
      <c r="Y37" s="82">
        <f>IF(OR($C37="",Y$7=""),"",IF(X37="",W37,INDEX(Settings_ShiftLegends,IF(MATCH(X37,Settings_ShiftLegends,0)+1&gt;COUNTA(Settings_ShiftLegends),1,MATCH(X37,Settings_ShiftLegends,0)+1))))</f>
        <v/>
      </c>
      <c r="Z37" s="82">
        <f>IF(OR($C37="",Z$7=""),"",IF(Y37="",X37,INDEX(Settings_ShiftLegends,IF(MATCH(Y37,Settings_ShiftLegends,0)+1&gt;COUNTA(Settings_ShiftLegends),1,MATCH(Y37,Settings_ShiftLegends,0)+1))))</f>
        <v/>
      </c>
      <c r="AA37" s="82">
        <f>IF(OR($C37="",AA$7=""),"",IF(Z37="",Y37,INDEX(Settings_ShiftLegends,IF(MATCH(Z37,Settings_ShiftLegends,0)+1&gt;COUNTA(Settings_ShiftLegends),1,MATCH(Z37,Settings_ShiftLegends,0)+1))))</f>
        <v/>
      </c>
      <c r="AB37" s="82">
        <f>IF(OR($C37="",AB$7=""),"",IF(AA37="",Z37,INDEX(Settings_ShiftLegends,IF(MATCH(AA37,Settings_ShiftLegends,0)+1&gt;COUNTA(Settings_ShiftLegends),1,MATCH(AA37,Settings_ShiftLegends,0)+1))))</f>
        <v/>
      </c>
      <c r="AC37" s="82">
        <f>IF(OR($C37="",AC$7=""),"",IF(AB37="",AA37,INDEX(Settings_ShiftLegends,IF(MATCH(AB37,Settings_ShiftLegends,0)+1&gt;COUNTA(Settings_ShiftLegends),1,MATCH(AB37,Settings_ShiftLegends,0)+1))))</f>
        <v/>
      </c>
      <c r="AD37" s="82">
        <f>IF(OR($C37="",AD$7=""),"",IF(AC37="",AB37,INDEX(Settings_ShiftLegends,IF(MATCH(AC37,Settings_ShiftLegends,0)+1&gt;COUNTA(Settings_ShiftLegends),1,MATCH(AC37,Settings_ShiftLegends,0)+1))))</f>
        <v/>
      </c>
      <c r="AE37" s="82">
        <f>IF(OR($C37="",AE$7=""),"",IF(AD37="",AC37,INDEX(Settings_ShiftLegends,IF(MATCH(AD37,Settings_ShiftLegends,0)+1&gt;COUNTA(Settings_ShiftLegends),1,MATCH(AD37,Settings_ShiftLegends,0)+1))))</f>
        <v/>
      </c>
      <c r="AF37" s="82">
        <f>IF(OR($C37="",AF$7=""),"",IF(AE37="",AD37,INDEX(Settings_ShiftLegends,IF(MATCH(AE37,Settings_ShiftLegends,0)+1&gt;COUNTA(Settings_ShiftLegends),1,MATCH(AE37,Settings_ShiftLegends,0)+1))))</f>
        <v/>
      </c>
      <c r="AG37" s="82">
        <f>IF(OR($C37="",AG$7=""),"",IF(AF37="",AE37,INDEX(Settings_ShiftLegends,IF(MATCH(AF37,Settings_ShiftLegends,0)+1&gt;COUNTA(Settings_ShiftLegends),1,MATCH(AF37,Settings_ShiftLegends,0)+1))))</f>
        <v/>
      </c>
      <c r="AH37" s="82">
        <f>IF(OR($C37="",AH$7=""),"",IF(AG37="",AF37,INDEX(Settings_ShiftLegends,IF(MATCH(AG37,Settings_ShiftLegends,0)+1&gt;COUNTA(Settings_ShiftLegends),1,MATCH(AG37,Settings_ShiftLegends,0)+1))))</f>
        <v/>
      </c>
      <c r="AI37" s="82">
        <f>IF(OR($C37="",AI$7=""),"",IF(AH37="",AG37,INDEX(Settings_ShiftLegends,IF(MATCH(AH37,Settings_ShiftLegends,0)+1&gt;COUNTA(Settings_ShiftLegends),1,MATCH(AH37,Settings_ShiftLegends,0)+1))))</f>
        <v/>
      </c>
      <c r="AK37" s="82">
        <f>COUNTIF($E37:$AI37,"M*")</f>
        <v/>
      </c>
      <c r="AL37" s="82">
        <f>COUNTIF($E37:$AI37,"A*")</f>
        <v/>
      </c>
      <c r="AM37" s="82">
        <f>COUNTIF($E37:$AI37,"N*")</f>
        <v/>
      </c>
      <c r="AN37" s="82">
        <f>COUNTIF($E37:$AI37,"O*")</f>
        <v/>
      </c>
    </row>
    <row r="39">
      <c r="B39" s="78" t="inlineStr">
        <is>
          <t>Morning Shift</t>
        </is>
      </c>
      <c r="C39" s="134" t="n"/>
      <c r="E39" s="82">
        <f>COUNTIF(E$8:E$37,"M*")</f>
        <v/>
      </c>
      <c r="F39" s="82">
        <f>COUNTIF(F$8:F$37,"M*")</f>
        <v/>
      </c>
      <c r="G39" s="82">
        <f>COUNTIF(G$8:G$37,"M*")</f>
        <v/>
      </c>
      <c r="H39" s="82">
        <f>COUNTIF(H$8:H$37,"M*")</f>
        <v/>
      </c>
      <c r="I39" s="82">
        <f>COUNTIF(I$8:I$37,"M*")</f>
        <v/>
      </c>
      <c r="J39" s="82">
        <f>COUNTIF(J$8:J$37,"M*")</f>
        <v/>
      </c>
      <c r="K39" s="82">
        <f>COUNTIF(K$8:K$37,"M*")</f>
        <v/>
      </c>
      <c r="L39" s="82">
        <f>COUNTIF(L$8:L$37,"M*")</f>
        <v/>
      </c>
      <c r="M39" s="82">
        <f>COUNTIF(M$8:M$37,"M*")</f>
        <v/>
      </c>
      <c r="N39" s="82">
        <f>COUNTIF(N$8:N$37,"M*")</f>
        <v/>
      </c>
      <c r="O39" s="82">
        <f>COUNTIF(O$8:O$37,"M*")</f>
        <v/>
      </c>
      <c r="P39" s="82">
        <f>COUNTIF(P$8:P$37,"M*")</f>
        <v/>
      </c>
      <c r="Q39" s="82">
        <f>COUNTIF(Q$8:Q$37,"M*")</f>
        <v/>
      </c>
      <c r="R39" s="82">
        <f>COUNTIF(R$8:R$37,"M*")</f>
        <v/>
      </c>
      <c r="S39" s="82">
        <f>COUNTIF(S$8:S$37,"M*")</f>
        <v/>
      </c>
      <c r="T39" s="82">
        <f>COUNTIF(T$8:T$37,"M*")</f>
        <v/>
      </c>
      <c r="U39" s="82">
        <f>COUNTIF(U$8:U$37,"M*")</f>
        <v/>
      </c>
      <c r="V39" s="82">
        <f>COUNTIF(V$8:V$37,"M*")</f>
        <v/>
      </c>
      <c r="W39" s="82">
        <f>COUNTIF(W$8:W$37,"M*")</f>
        <v/>
      </c>
      <c r="X39" s="82">
        <f>COUNTIF(X$8:X$37,"M*")</f>
        <v/>
      </c>
      <c r="Y39" s="82">
        <f>COUNTIF(Y$8:Y$37,"M*")</f>
        <v/>
      </c>
      <c r="Z39" s="82">
        <f>COUNTIF(Z$8:Z$37,"M*")</f>
        <v/>
      </c>
      <c r="AA39" s="82">
        <f>COUNTIF(AA$8:AA$37,"M*")</f>
        <v/>
      </c>
      <c r="AB39" s="82">
        <f>COUNTIF(AB$8:AB$37,"M*")</f>
        <v/>
      </c>
      <c r="AC39" s="82">
        <f>COUNTIF(AC$8:AC$37,"M*")</f>
        <v/>
      </c>
      <c r="AD39" s="82">
        <f>COUNTIF(AD$8:AD$37,"M*")</f>
        <v/>
      </c>
      <c r="AE39" s="82">
        <f>COUNTIF(AE$8:AE$37,"M*")</f>
        <v/>
      </c>
      <c r="AF39" s="82">
        <f>COUNTIF(AF$8:AF$37,"M*")</f>
        <v/>
      </c>
      <c r="AG39" s="82">
        <f>COUNTIF(AG$8:AG$37,"M*")</f>
        <v/>
      </c>
      <c r="AH39" s="82">
        <f>COUNTIF(AH$8:AH$37,"M*")</f>
        <v/>
      </c>
      <c r="AI39" s="82">
        <f>COUNTIF(AI$8:AI$37,"M*")</f>
        <v/>
      </c>
    </row>
    <row r="40">
      <c r="B40" s="78" t="inlineStr">
        <is>
          <t>Afternoon Shift</t>
        </is>
      </c>
      <c r="C40" s="134" t="n"/>
      <c r="E40" s="82">
        <f>COUNTIF(E$8:E$37,"A*")</f>
        <v/>
      </c>
      <c r="F40" s="82">
        <f>COUNTIF(F$8:F$37,"A*")</f>
        <v/>
      </c>
      <c r="G40" s="82">
        <f>COUNTIF(G$8:G$37,"A*")</f>
        <v/>
      </c>
      <c r="H40" s="82">
        <f>COUNTIF(H$8:H$37,"A*")</f>
        <v/>
      </c>
      <c r="I40" s="82">
        <f>COUNTIF(I$8:I$37,"A*")</f>
        <v/>
      </c>
      <c r="J40" s="82">
        <f>COUNTIF(J$8:J$37,"A*")</f>
        <v/>
      </c>
      <c r="K40" s="82">
        <f>COUNTIF(K$8:K$37,"A*")</f>
        <v/>
      </c>
      <c r="L40" s="82">
        <f>COUNTIF(L$8:L$37,"A*")</f>
        <v/>
      </c>
      <c r="M40" s="82">
        <f>COUNTIF(M$8:M$37,"A*")</f>
        <v/>
      </c>
      <c r="N40" s="82">
        <f>COUNTIF(N$8:N$37,"A*")</f>
        <v/>
      </c>
      <c r="O40" s="82">
        <f>COUNTIF(O$8:O$37,"A*")</f>
        <v/>
      </c>
      <c r="P40" s="82">
        <f>COUNTIF(P$8:P$37,"A*")</f>
        <v/>
      </c>
      <c r="Q40" s="82">
        <f>COUNTIF(Q$8:Q$37,"A*")</f>
        <v/>
      </c>
      <c r="R40" s="82">
        <f>COUNTIF(R$8:R$37,"A*")</f>
        <v/>
      </c>
      <c r="S40" s="82">
        <f>COUNTIF(S$8:S$37,"A*")</f>
        <v/>
      </c>
      <c r="T40" s="82">
        <f>COUNTIF(T$8:T$37,"A*")</f>
        <v/>
      </c>
      <c r="U40" s="82">
        <f>COUNTIF(U$8:U$37,"A*")</f>
        <v/>
      </c>
      <c r="V40" s="82">
        <f>COUNTIF(V$8:V$37,"A*")</f>
        <v/>
      </c>
      <c r="W40" s="82">
        <f>COUNTIF(W$8:W$37,"A*")</f>
        <v/>
      </c>
      <c r="X40" s="82">
        <f>COUNTIF(X$8:X$37,"A*")</f>
        <v/>
      </c>
      <c r="Y40" s="82">
        <f>COUNTIF(Y$8:Y$37,"A*")</f>
        <v/>
      </c>
      <c r="Z40" s="82">
        <f>COUNTIF(Z$8:Z$37,"A*")</f>
        <v/>
      </c>
      <c r="AA40" s="82">
        <f>COUNTIF(AA$8:AA$37,"A*")</f>
        <v/>
      </c>
      <c r="AB40" s="82">
        <f>COUNTIF(AB$8:AB$37,"A*")</f>
        <v/>
      </c>
      <c r="AC40" s="82">
        <f>COUNTIF(AC$8:AC$37,"A*")</f>
        <v/>
      </c>
      <c r="AD40" s="82">
        <f>COUNTIF(AD$8:AD$37,"A*")</f>
        <v/>
      </c>
      <c r="AE40" s="82">
        <f>COUNTIF(AE$8:AE$37,"A*")</f>
        <v/>
      </c>
      <c r="AF40" s="82">
        <f>COUNTIF(AF$8:AF$37,"A*")</f>
        <v/>
      </c>
      <c r="AG40" s="82">
        <f>COUNTIF(AG$8:AG$37,"A*")</f>
        <v/>
      </c>
      <c r="AH40" s="82">
        <f>COUNTIF(AH$8:AH$37,"A*")</f>
        <v/>
      </c>
      <c r="AI40" s="82">
        <f>COUNTIF(AI$8:AI$37,"A*")</f>
        <v/>
      </c>
    </row>
    <row r="41">
      <c r="B41" s="78" t="inlineStr">
        <is>
          <t xml:space="preserve">Night Shift </t>
        </is>
      </c>
      <c r="C41" s="134" t="n"/>
      <c r="E41" s="82">
        <f>COUNTIF(E$8:E$37,"N*")</f>
        <v/>
      </c>
      <c r="F41" s="82">
        <f>COUNTIF(F$8:F$37,"N*")</f>
        <v/>
      </c>
      <c r="G41" s="82">
        <f>COUNTIF(G$8:G$37,"N*")</f>
        <v/>
      </c>
      <c r="H41" s="82">
        <f>COUNTIF(H$8:H$37,"N*")</f>
        <v/>
      </c>
      <c r="I41" s="82">
        <f>COUNTIF(I$8:I$37,"N*")</f>
        <v/>
      </c>
      <c r="J41" s="82">
        <f>COUNTIF(J$8:J$37,"N*")</f>
        <v/>
      </c>
      <c r="K41" s="82">
        <f>COUNTIF(K$8:K$37,"N*")</f>
        <v/>
      </c>
      <c r="L41" s="82">
        <f>COUNTIF(L$8:L$37,"N*")</f>
        <v/>
      </c>
      <c r="M41" s="82">
        <f>COUNTIF(M$8:M$37,"N*")</f>
        <v/>
      </c>
      <c r="N41" s="82">
        <f>COUNTIF(N$8:N$37,"N*")</f>
        <v/>
      </c>
      <c r="O41" s="82">
        <f>COUNTIF(O$8:O$37,"N*")</f>
        <v/>
      </c>
      <c r="P41" s="82">
        <f>COUNTIF(P$8:P$37,"N*")</f>
        <v/>
      </c>
      <c r="Q41" s="82">
        <f>COUNTIF(Q$8:Q$37,"N*")</f>
        <v/>
      </c>
      <c r="R41" s="82">
        <f>COUNTIF(R$8:R$37,"N*")</f>
        <v/>
      </c>
      <c r="S41" s="82">
        <f>COUNTIF(S$8:S$37,"N*")</f>
        <v/>
      </c>
      <c r="T41" s="82">
        <f>COUNTIF(T$8:T$37,"N*")</f>
        <v/>
      </c>
      <c r="U41" s="82">
        <f>COUNTIF(U$8:U$37,"N*")</f>
        <v/>
      </c>
      <c r="V41" s="82">
        <f>COUNTIF(V$8:V$37,"N*")</f>
        <v/>
      </c>
      <c r="W41" s="82">
        <f>COUNTIF(W$8:W$37,"N*")</f>
        <v/>
      </c>
      <c r="X41" s="82">
        <f>COUNTIF(X$8:X$37,"N*")</f>
        <v/>
      </c>
      <c r="Y41" s="82">
        <f>COUNTIF(Y$8:Y$37,"N*")</f>
        <v/>
      </c>
      <c r="Z41" s="82">
        <f>COUNTIF(Z$8:Z$37,"N*")</f>
        <v/>
      </c>
      <c r="AA41" s="82">
        <f>COUNTIF(AA$8:AA$37,"N*")</f>
        <v/>
      </c>
      <c r="AB41" s="82">
        <f>COUNTIF(AB$8:AB$37,"N*")</f>
        <v/>
      </c>
      <c r="AC41" s="82">
        <f>COUNTIF(AC$8:AC$37,"N*")</f>
        <v/>
      </c>
      <c r="AD41" s="82">
        <f>COUNTIF(AD$8:AD$37,"N*")</f>
        <v/>
      </c>
      <c r="AE41" s="82">
        <f>COUNTIF(AE$8:AE$37,"N*")</f>
        <v/>
      </c>
      <c r="AF41" s="82">
        <f>COUNTIF(AF$8:AF$37,"N*")</f>
        <v/>
      </c>
      <c r="AG41" s="82">
        <f>COUNTIF(AG$8:AG$37,"N*")</f>
        <v/>
      </c>
      <c r="AH41" s="82">
        <f>COUNTIF(AH$8:AH$37,"N*")</f>
        <v/>
      </c>
      <c r="AI41" s="82">
        <f>COUNTIF(AI$8:AI$37,"N*")</f>
        <v/>
      </c>
    </row>
    <row r="42">
      <c r="B42" s="78" t="inlineStr">
        <is>
          <t>Offday</t>
        </is>
      </c>
      <c r="C42" s="134" t="n"/>
      <c r="E42" s="82">
        <f>COUNTIF(E$8:E$37,"O*")</f>
        <v/>
      </c>
      <c r="F42" s="82">
        <f>COUNTIF(F$8:F$37,"O*")</f>
        <v/>
      </c>
      <c r="G42" s="82">
        <f>COUNTIF(G$8:G$37,"O*")</f>
        <v/>
      </c>
      <c r="H42" s="82">
        <f>COUNTIF(H$8:H$37,"O*")</f>
        <v/>
      </c>
      <c r="I42" s="82">
        <f>COUNTIF(I$8:I$37,"O*")</f>
        <v/>
      </c>
      <c r="J42" s="82">
        <f>COUNTIF(J$8:J$37,"O*")</f>
        <v/>
      </c>
      <c r="K42" s="82">
        <f>COUNTIF(K$8:K$37,"O*")</f>
        <v/>
      </c>
      <c r="L42" s="82">
        <f>COUNTIF(L$8:L$37,"O*")</f>
        <v/>
      </c>
      <c r="M42" s="82">
        <f>COUNTIF(M$8:M$37,"O*")</f>
        <v/>
      </c>
      <c r="N42" s="82">
        <f>COUNTIF(N$8:N$37,"O*")</f>
        <v/>
      </c>
      <c r="O42" s="82">
        <f>COUNTIF(O$8:O$37,"O*")</f>
        <v/>
      </c>
      <c r="P42" s="82">
        <f>COUNTIF(P$8:P$37,"O*")</f>
        <v/>
      </c>
      <c r="Q42" s="82">
        <f>COUNTIF(Q$8:Q$37,"O*")</f>
        <v/>
      </c>
      <c r="R42" s="82">
        <f>COUNTIF(R$8:R$37,"O*")</f>
        <v/>
      </c>
      <c r="S42" s="82">
        <f>COUNTIF(S$8:S$37,"O*")</f>
        <v/>
      </c>
      <c r="T42" s="82">
        <f>COUNTIF(T$8:T$37,"O*")</f>
        <v/>
      </c>
      <c r="U42" s="82">
        <f>COUNTIF(U$8:U$37,"O*")</f>
        <v/>
      </c>
      <c r="V42" s="82">
        <f>COUNTIF(V$8:V$37,"O*")</f>
        <v/>
      </c>
      <c r="W42" s="82">
        <f>COUNTIF(W$8:W$37,"O*")</f>
        <v/>
      </c>
      <c r="X42" s="82">
        <f>COUNTIF(X$8:X$37,"O*")</f>
        <v/>
      </c>
      <c r="Y42" s="82">
        <f>COUNTIF(Y$8:Y$37,"O*")</f>
        <v/>
      </c>
      <c r="Z42" s="82">
        <f>COUNTIF(Z$8:Z$37,"O*")</f>
        <v/>
      </c>
      <c r="AA42" s="82">
        <f>COUNTIF(AA$8:AA$37,"O*")</f>
        <v/>
      </c>
      <c r="AB42" s="82">
        <f>COUNTIF(AB$8:AB$37,"O*")</f>
        <v/>
      </c>
      <c r="AC42" s="82">
        <f>COUNTIF(AC$8:AC$37,"O*")</f>
        <v/>
      </c>
      <c r="AD42" s="82">
        <f>COUNTIF(AD$8:AD$37,"O*")</f>
        <v/>
      </c>
      <c r="AE42" s="82">
        <f>COUNTIF(AE$8:AE$37,"O*")</f>
        <v/>
      </c>
      <c r="AF42" s="82">
        <f>COUNTIF(AF$8:AF$37,"O*")</f>
        <v/>
      </c>
      <c r="AG42" s="82">
        <f>COUNTIF(AG$8:AG$37,"O*")</f>
        <v/>
      </c>
      <c r="AH42" s="82">
        <f>COUNTIF(AH$8:AH$37,"O*")</f>
        <v/>
      </c>
      <c r="AI42" s="82">
        <f>COUNTIF(AI$8:AI$37,"O*")</f>
        <v/>
      </c>
    </row>
    <row r="44">
      <c r="E44">
        <f>SUM(E39:E42)</f>
        <v/>
      </c>
    </row>
  </sheetData>
  <mergeCells count="22">
    <mergeCell ref="E1:AI1"/>
    <mergeCell ref="E4:I4"/>
    <mergeCell ref="M4:O4"/>
    <mergeCell ref="P4:R4"/>
    <mergeCell ref="U4:W4"/>
    <mergeCell ref="X4:Z4"/>
    <mergeCell ref="AK2:AN4"/>
    <mergeCell ref="B41:C41"/>
    <mergeCell ref="B42:C42"/>
    <mergeCell ref="AK6:AK7"/>
    <mergeCell ref="AL6:AL7"/>
    <mergeCell ref="AM6:AM7"/>
    <mergeCell ref="AN6:AN7"/>
    <mergeCell ref="AC4:AE4"/>
    <mergeCell ref="B6:B7"/>
    <mergeCell ref="C6:C7"/>
    <mergeCell ref="B39:C39"/>
    <mergeCell ref="B40:C40"/>
    <mergeCell ref="B2:C4"/>
    <mergeCell ref="E2:V2"/>
    <mergeCell ref="W2:AB2"/>
    <mergeCell ref="AC2:AF2"/>
  </mergeCells>
  <conditionalFormatting sqref="E8:AI37 AK8:AN37 E39:AI42">
    <cfRule type="expression" priority="4" dxfId="149">
      <formula>LEFT(E8,1)="N"</formula>
    </cfRule>
    <cfRule type="expression" priority="5" dxfId="148">
      <formula>LEFT(E8,1)="A"</formula>
    </cfRule>
    <cfRule type="expression" priority="7" dxfId="147">
      <formula>LEFT(E8,1)="M"</formula>
    </cfRule>
    <cfRule type="expression" priority="8" dxfId="146">
      <formula>LEFT(E8,1)="D"</formula>
    </cfRule>
  </conditionalFormatting>
  <conditionalFormatting sqref="E39:AI42 E8:AI37 AK8:AN37">
    <cfRule type="expression" priority="3" dxfId="145">
      <formula>LEFT(E8,1)="O"</formula>
    </cfRule>
  </conditionalFormatting>
  <conditionalFormatting sqref="E39:AI42">
    <cfRule type="expression" priority="1" dxfId="144">
      <formula>ISEVEN(ROW($E39))</formula>
    </cfRule>
  </conditionalFormatting>
  <dataValidations count="3">
    <dataValidation sqref="W2:AB2" showErrorMessage="1" showInputMessage="1" allowBlank="1" type="list">
      <formula1>setting_MonthList</formula1>
    </dataValidation>
    <dataValidation sqref="AC2:AF2" showErrorMessage="1" showInputMessage="1" allowBlank="1" type="list">
      <formula1>Settings_YearList</formula1>
    </dataValidation>
    <dataValidation sqref="C8:C37" showErrorMessage="1" showInputMessage="1" allowBlank="1" type="list">
      <formula1>Settings_ShiftLegends</formula1>
    </dataValidation>
  </dataValidation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AP20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Q6" sqref="Q6"/>
    </sheetView>
  </sheetViews>
  <sheetFormatPr baseColWidth="8" defaultRowHeight="15.75"/>
  <cols>
    <col width="3.42578125" customWidth="1" style="18" min="1" max="1"/>
    <col width="7.140625" customWidth="1" style="18" min="2" max="2"/>
    <col width="12.85546875" customWidth="1" style="18" min="3" max="3"/>
    <col width="31.5703125" customWidth="1" style="20" min="4" max="4"/>
    <col width="2.28515625" customWidth="1" style="18" min="5" max="5"/>
    <col width="10.7109375" customWidth="1" style="18" min="6" max="36"/>
    <col width="4.28515625" customWidth="1" style="18" min="37" max="37"/>
    <col width="9.140625" customWidth="1" style="18" min="38" max="41"/>
    <col width="12.28515625" bestFit="1" customWidth="1" style="18" min="42" max="42"/>
    <col width="9.140625" customWidth="1" style="18" min="43" max="16384"/>
  </cols>
  <sheetData>
    <row r="1" ht="16.5" customHeight="1" s="6" thickBot="1"/>
    <row r="2" ht="39" customHeight="1" s="6" thickBot="1">
      <c r="F2" s="93" t="inlineStr">
        <is>
          <t>Export Checkers Roster for the Month of NOVEMBER 2025</t>
        </is>
      </c>
      <c r="G2" s="139" t="n"/>
      <c r="H2" s="139" t="n"/>
      <c r="I2" s="139" t="n"/>
      <c r="J2" s="139" t="n"/>
      <c r="K2" s="139" t="n"/>
      <c r="L2" s="139" t="n"/>
      <c r="M2" s="139" t="n"/>
      <c r="N2" s="139" t="n"/>
      <c r="O2" s="139" t="n"/>
      <c r="P2" s="139" t="n"/>
      <c r="Q2" s="139" t="n"/>
      <c r="R2" s="139" t="n"/>
      <c r="S2" s="139" t="n"/>
      <c r="T2" s="139" t="n"/>
      <c r="U2" s="139" t="n"/>
      <c r="V2" s="139" t="n"/>
      <c r="W2" s="139" t="n"/>
      <c r="X2" s="139" t="n"/>
      <c r="Y2" s="139" t="n"/>
      <c r="Z2" s="139" t="n"/>
      <c r="AA2" s="139" t="n"/>
      <c r="AB2" s="139" t="n"/>
      <c r="AC2" s="139" t="n"/>
      <c r="AD2" s="139" t="n"/>
      <c r="AE2" s="139" t="n"/>
      <c r="AF2" s="139" t="n"/>
      <c r="AG2" s="139" t="n"/>
      <c r="AH2" s="139" t="n"/>
      <c r="AI2" s="139" t="n"/>
      <c r="AJ2" s="140" t="n"/>
      <c r="AL2" s="141" t="inlineStr">
        <is>
          <t xml:space="preserve">Staff Number Of Days Standby </t>
        </is>
      </c>
      <c r="AM2" s="141" t="inlineStr">
        <is>
          <t>Staff's Morning Duty</t>
        </is>
      </c>
      <c r="AN2" s="141" t="inlineStr">
        <is>
          <t>Staff's Afternoon Duty</t>
        </is>
      </c>
      <c r="AO2" s="141" t="inlineStr">
        <is>
          <t>Staff's Night Duty</t>
        </is>
      </c>
      <c r="AP2" s="141" t="inlineStr">
        <is>
          <t>Staff's Offdays</t>
        </is>
      </c>
    </row>
    <row r="3" ht="39.75" customHeight="1" s="6" thickBot="1">
      <c r="B3" s="91" t="inlineStr">
        <is>
          <t>Employee</t>
        </is>
      </c>
      <c r="C3" s="142" t="n"/>
      <c r="D3" s="132" t="n"/>
      <c r="F3" s="52" t="inlineStr">
        <is>
          <t>SAT</t>
        </is>
      </c>
      <c r="G3" s="53" t="inlineStr">
        <is>
          <t>SUN</t>
        </is>
      </c>
      <c r="H3" s="53" t="inlineStr">
        <is>
          <t>MON</t>
        </is>
      </c>
      <c r="I3" s="54" t="inlineStr">
        <is>
          <t>TUE</t>
        </is>
      </c>
      <c r="J3" s="53" t="inlineStr">
        <is>
          <t>WED</t>
        </is>
      </c>
      <c r="K3" s="53" t="inlineStr">
        <is>
          <t>THU</t>
        </is>
      </c>
      <c r="L3" s="54" t="inlineStr">
        <is>
          <t>FRI</t>
        </is>
      </c>
      <c r="M3" s="53" t="inlineStr">
        <is>
          <t>SAT</t>
        </is>
      </c>
      <c r="N3" s="53" t="inlineStr">
        <is>
          <t>SUN</t>
        </is>
      </c>
      <c r="O3" s="54" t="inlineStr">
        <is>
          <t>MON</t>
        </is>
      </c>
      <c r="P3" s="53" t="inlineStr">
        <is>
          <t>TUE</t>
        </is>
      </c>
      <c r="Q3" s="53" t="inlineStr">
        <is>
          <t>WED</t>
        </is>
      </c>
      <c r="R3" s="54" t="inlineStr">
        <is>
          <t>THU</t>
        </is>
      </c>
      <c r="S3" s="53" t="inlineStr">
        <is>
          <t>FRI</t>
        </is>
      </c>
      <c r="T3" s="53" t="inlineStr">
        <is>
          <t>SAT</t>
        </is>
      </c>
      <c r="U3" s="54" t="inlineStr">
        <is>
          <t>SUN</t>
        </is>
      </c>
      <c r="V3" s="53" t="inlineStr">
        <is>
          <t>MON</t>
        </is>
      </c>
      <c r="W3" s="53" t="inlineStr">
        <is>
          <t>TUE</t>
        </is>
      </c>
      <c r="X3" s="54" t="inlineStr">
        <is>
          <t>WED</t>
        </is>
      </c>
      <c r="Y3" s="53" t="inlineStr">
        <is>
          <t>THU</t>
        </is>
      </c>
      <c r="Z3" s="53" t="inlineStr">
        <is>
          <t>FRI</t>
        </is>
      </c>
      <c r="AA3" s="54" t="inlineStr">
        <is>
          <t>SAT</t>
        </is>
      </c>
      <c r="AB3" s="53" t="inlineStr">
        <is>
          <t>SUN</t>
        </is>
      </c>
      <c r="AC3" s="53" t="inlineStr">
        <is>
          <t>MON</t>
        </is>
      </c>
      <c r="AD3" s="54" t="inlineStr">
        <is>
          <t>TUE</t>
        </is>
      </c>
      <c r="AE3" s="53" t="inlineStr">
        <is>
          <t>WED</t>
        </is>
      </c>
      <c r="AF3" s="53" t="inlineStr">
        <is>
          <t>THU</t>
        </is>
      </c>
      <c r="AG3" s="54" t="inlineStr">
        <is>
          <t>FRI</t>
        </is>
      </c>
      <c r="AH3" s="53" t="inlineStr">
        <is>
          <t>SAT</t>
        </is>
      </c>
      <c r="AI3" s="55" t="inlineStr">
        <is>
          <t>SUN</t>
        </is>
      </c>
      <c r="AJ3" s="47" t="n"/>
      <c r="AL3" s="11" t="n"/>
      <c r="AM3" s="11" t="n"/>
      <c r="AN3" s="11" t="n"/>
      <c r="AO3" s="11" t="n"/>
      <c r="AP3" s="11" t="n"/>
    </row>
    <row r="4" ht="19.5" customHeight="1" s="6" thickBot="1">
      <c r="B4" s="137" t="n"/>
      <c r="C4" s="143" t="n"/>
      <c r="D4" s="138" t="n"/>
      <c r="F4" s="48" t="n">
        <v>1</v>
      </c>
      <c r="G4" s="49" t="n">
        <v>2</v>
      </c>
      <c r="H4" s="49" t="n">
        <v>3</v>
      </c>
      <c r="I4" s="49" t="n">
        <v>4</v>
      </c>
      <c r="J4" s="49" t="n">
        <v>5</v>
      </c>
      <c r="K4" s="49" t="n">
        <v>6</v>
      </c>
      <c r="L4" s="49" t="n">
        <v>7</v>
      </c>
      <c r="M4" s="49" t="n">
        <v>8</v>
      </c>
      <c r="N4" s="49" t="n">
        <v>9</v>
      </c>
      <c r="O4" s="49" t="n">
        <v>10</v>
      </c>
      <c r="P4" s="49" t="n">
        <v>11</v>
      </c>
      <c r="Q4" s="49" t="n">
        <v>12</v>
      </c>
      <c r="R4" s="49" t="n">
        <v>13</v>
      </c>
      <c r="S4" s="49" t="n">
        <v>14</v>
      </c>
      <c r="T4" s="49" t="n">
        <v>15</v>
      </c>
      <c r="U4" s="49" t="n">
        <v>16</v>
      </c>
      <c r="V4" s="49" t="n">
        <v>17</v>
      </c>
      <c r="W4" s="49" t="n">
        <v>18</v>
      </c>
      <c r="X4" s="49" t="n">
        <v>19</v>
      </c>
      <c r="Y4" s="49" t="n">
        <v>20</v>
      </c>
      <c r="Z4" s="49" t="n">
        <v>21</v>
      </c>
      <c r="AA4" s="49" t="n">
        <v>22</v>
      </c>
      <c r="AB4" s="49" t="n">
        <v>23</v>
      </c>
      <c r="AC4" s="49" t="n">
        <v>24</v>
      </c>
      <c r="AD4" s="49" t="n">
        <v>25</v>
      </c>
      <c r="AE4" s="49" t="n">
        <v>26</v>
      </c>
      <c r="AF4" s="49" t="n">
        <v>27</v>
      </c>
      <c r="AG4" s="49" t="n">
        <v>28</v>
      </c>
      <c r="AH4" s="49" t="n">
        <v>29</v>
      </c>
      <c r="AI4" s="50" t="n">
        <v>30</v>
      </c>
      <c r="AJ4" s="51" t="n"/>
      <c r="AL4" s="12" t="n"/>
      <c r="AM4" s="12" t="n"/>
      <c r="AN4" s="12" t="n"/>
      <c r="AO4" s="12" t="n"/>
      <c r="AP4" s="12" t="n"/>
    </row>
    <row r="5" ht="18.75" customHeight="1" s="6">
      <c r="B5" s="37" t="n">
        <v>1</v>
      </c>
      <c r="C5" s="92" t="inlineStr">
        <is>
          <t>Rodolfo Magcaling - 80235</t>
        </is>
      </c>
      <c r="D5" s="134" t="n"/>
      <c r="F5" s="57" t="inlineStr">
        <is>
          <t>O1</t>
        </is>
      </c>
      <c r="G5" s="57" t="inlineStr">
        <is>
          <t>M1</t>
        </is>
      </c>
      <c r="H5" s="57" t="inlineStr">
        <is>
          <t>M2</t>
        </is>
      </c>
      <c r="I5" s="57" t="inlineStr">
        <is>
          <t>M3</t>
        </is>
      </c>
      <c r="J5" s="57" t="inlineStr">
        <is>
          <t>M4</t>
        </is>
      </c>
      <c r="K5" s="57" t="inlineStr">
        <is>
          <t>M5</t>
        </is>
      </c>
      <c r="L5" s="57" t="inlineStr">
        <is>
          <t>O1</t>
        </is>
      </c>
      <c r="M5" s="57" t="inlineStr">
        <is>
          <t>O2</t>
        </is>
      </c>
      <c r="N5" s="57" t="inlineStr">
        <is>
          <t>M1</t>
        </is>
      </c>
      <c r="O5" s="57" t="inlineStr">
        <is>
          <t>M2</t>
        </is>
      </c>
      <c r="P5" s="57" t="inlineStr">
        <is>
          <t>M3</t>
        </is>
      </c>
      <c r="Q5" s="57" t="inlineStr">
        <is>
          <t>TR</t>
        </is>
      </c>
      <c r="R5" s="57" t="inlineStr">
        <is>
          <t>M5</t>
        </is>
      </c>
      <c r="S5" s="57" t="inlineStr">
        <is>
          <t>O1</t>
        </is>
      </c>
      <c r="T5" s="57" t="inlineStr">
        <is>
          <t>O2</t>
        </is>
      </c>
      <c r="U5" s="57" t="inlineStr">
        <is>
          <t>M1</t>
        </is>
      </c>
      <c r="V5" s="57" t="inlineStr">
        <is>
          <t>M2</t>
        </is>
      </c>
      <c r="W5" s="57" t="inlineStr">
        <is>
          <t>M3</t>
        </is>
      </c>
      <c r="X5" s="57" t="inlineStr">
        <is>
          <t>M4</t>
        </is>
      </c>
      <c r="Y5" s="57" t="inlineStr">
        <is>
          <t>M5</t>
        </is>
      </c>
      <c r="Z5" s="57" t="inlineStr">
        <is>
          <t>O1</t>
        </is>
      </c>
      <c r="AA5" s="57" t="inlineStr">
        <is>
          <t>O2</t>
        </is>
      </c>
      <c r="AB5" s="57" t="inlineStr">
        <is>
          <t>M1</t>
        </is>
      </c>
      <c r="AC5" s="57" t="inlineStr">
        <is>
          <t>M2</t>
        </is>
      </c>
      <c r="AD5" s="57" t="inlineStr">
        <is>
          <t>M3</t>
        </is>
      </c>
      <c r="AE5" s="57" t="inlineStr">
        <is>
          <t>M4</t>
        </is>
      </c>
      <c r="AF5" s="57" t="inlineStr">
        <is>
          <t>M5</t>
        </is>
      </c>
      <c r="AG5" s="57" t="inlineStr">
        <is>
          <t>O1</t>
        </is>
      </c>
      <c r="AH5" s="57" t="inlineStr">
        <is>
          <t>O2</t>
        </is>
      </c>
      <c r="AI5" s="57" t="inlineStr">
        <is>
          <t>M1</t>
        </is>
      </c>
      <c r="AJ5" s="25" t="n"/>
      <c r="AL5" s="56">
        <f>COUNTIF($F5:$AJ5,"ST*")</f>
        <v/>
      </c>
      <c r="AM5" s="56">
        <f>COUNTIF($F5:$AJ5,"M*")</f>
        <v/>
      </c>
      <c r="AN5" s="56">
        <f>COUNTIF($F5:$AJ5,"A*")</f>
        <v/>
      </c>
      <c r="AO5" s="56">
        <f>COUNTIF($F5:$AJ5,"N*")</f>
        <v/>
      </c>
      <c r="AP5" s="56">
        <f>COUNTIF($F5:$AJ5,"O*")</f>
        <v/>
      </c>
    </row>
    <row r="6" ht="18.75" customHeight="1" s="6">
      <c r="B6" s="37" t="n">
        <v>2</v>
      </c>
      <c r="C6" s="92" t="inlineStr">
        <is>
          <t>Rajaram - 8899</t>
        </is>
      </c>
      <c r="D6" s="134" t="n"/>
      <c r="F6" s="57" t="inlineStr">
        <is>
          <t>M3</t>
        </is>
      </c>
      <c r="G6" s="57" t="inlineStr">
        <is>
          <t>A1</t>
        </is>
      </c>
      <c r="H6" s="57" t="inlineStr">
        <is>
          <t>A2</t>
        </is>
      </c>
      <c r="I6" s="57" t="inlineStr">
        <is>
          <t>O1</t>
        </is>
      </c>
      <c r="J6" s="57" t="inlineStr">
        <is>
          <t>O2</t>
        </is>
      </c>
      <c r="K6" s="57" t="inlineStr">
        <is>
          <t>M1</t>
        </is>
      </c>
      <c r="L6" s="57" t="inlineStr">
        <is>
          <t>M2</t>
        </is>
      </c>
      <c r="M6" s="57" t="inlineStr">
        <is>
          <t>M3</t>
        </is>
      </c>
      <c r="N6" s="57" t="inlineStr">
        <is>
          <t>A1</t>
        </is>
      </c>
      <c r="O6" s="57" t="inlineStr">
        <is>
          <t>A2</t>
        </is>
      </c>
      <c r="P6" s="57" t="inlineStr">
        <is>
          <t>O1</t>
        </is>
      </c>
      <c r="Q6" s="57" t="inlineStr">
        <is>
          <t>O2</t>
        </is>
      </c>
      <c r="R6" s="57" t="inlineStr">
        <is>
          <t>M1</t>
        </is>
      </c>
      <c r="S6" s="57" t="inlineStr">
        <is>
          <t>M2</t>
        </is>
      </c>
      <c r="T6" s="57" t="inlineStr">
        <is>
          <t>M3</t>
        </is>
      </c>
      <c r="U6" s="57" t="inlineStr">
        <is>
          <t>A1</t>
        </is>
      </c>
      <c r="V6" s="57" t="inlineStr">
        <is>
          <t>A2</t>
        </is>
      </c>
      <c r="W6" s="57" t="inlineStr">
        <is>
          <t>O1</t>
        </is>
      </c>
      <c r="X6" s="57" t="inlineStr">
        <is>
          <t>O2</t>
        </is>
      </c>
      <c r="Y6" s="57" t="inlineStr">
        <is>
          <t>M1</t>
        </is>
      </c>
      <c r="Z6" s="57" t="inlineStr">
        <is>
          <t>M2</t>
        </is>
      </c>
      <c r="AA6" s="57" t="inlineStr">
        <is>
          <t>M3</t>
        </is>
      </c>
      <c r="AB6" s="57" t="inlineStr">
        <is>
          <t>A1</t>
        </is>
      </c>
      <c r="AC6" s="57" t="inlineStr">
        <is>
          <t>A2</t>
        </is>
      </c>
      <c r="AD6" s="57" t="inlineStr">
        <is>
          <t>O1</t>
        </is>
      </c>
      <c r="AE6" s="57" t="inlineStr">
        <is>
          <t>O2</t>
        </is>
      </c>
      <c r="AF6" s="57" t="inlineStr">
        <is>
          <t>M1</t>
        </is>
      </c>
      <c r="AG6" s="57" t="inlineStr">
        <is>
          <t>M2</t>
        </is>
      </c>
      <c r="AH6" s="57" t="inlineStr">
        <is>
          <t>M3</t>
        </is>
      </c>
      <c r="AI6" s="57" t="inlineStr">
        <is>
          <t>A1</t>
        </is>
      </c>
      <c r="AJ6" s="57" t="inlineStr">
        <is>
          <t xml:space="preserve"> </t>
        </is>
      </c>
      <c r="AL6" s="56">
        <f>COUNTIF($F6:$AJ6,"ST*")</f>
        <v/>
      </c>
      <c r="AM6" s="56">
        <f>COUNTIF($F6:$AJ6,"M*")</f>
        <v/>
      </c>
      <c r="AN6" s="56">
        <f>COUNTIF($F6:$AJ6,"A*")</f>
        <v/>
      </c>
      <c r="AO6" s="56">
        <f>COUNTIF($F6:$AJ6,"N*")</f>
        <v/>
      </c>
      <c r="AP6" s="56">
        <f>COUNTIF($F6:$AJ6,"O*")</f>
        <v/>
      </c>
    </row>
    <row r="7" ht="18.75" customHeight="1" s="6">
      <c r="B7" s="37" t="n">
        <v>3</v>
      </c>
      <c r="C7" s="92" t="inlineStr">
        <is>
          <t>Salim Al Masroori - 8926</t>
        </is>
      </c>
      <c r="D7" s="134" t="n"/>
      <c r="F7" s="57" t="inlineStr">
        <is>
          <t>A3</t>
        </is>
      </c>
      <c r="G7" s="57" t="inlineStr">
        <is>
          <t>O1</t>
        </is>
      </c>
      <c r="H7" s="57" t="inlineStr">
        <is>
          <t>O2</t>
        </is>
      </c>
      <c r="I7" s="57" t="inlineStr">
        <is>
          <t>M1</t>
        </is>
      </c>
      <c r="J7" s="57" t="inlineStr">
        <is>
          <t>M2</t>
        </is>
      </c>
      <c r="K7" s="57" t="inlineStr">
        <is>
          <t>A1</t>
        </is>
      </c>
      <c r="L7" s="57" t="inlineStr">
        <is>
          <t>A2</t>
        </is>
      </c>
      <c r="M7" s="57" t="inlineStr">
        <is>
          <t>A3</t>
        </is>
      </c>
      <c r="N7" s="57" t="inlineStr">
        <is>
          <t>O1</t>
        </is>
      </c>
      <c r="O7" s="57" t="inlineStr">
        <is>
          <t>O2</t>
        </is>
      </c>
      <c r="P7" s="57" t="inlineStr">
        <is>
          <t>M1</t>
        </is>
      </c>
      <c r="Q7" s="57" t="inlineStr">
        <is>
          <t>M2</t>
        </is>
      </c>
      <c r="R7" s="57" t="inlineStr">
        <is>
          <t>A1</t>
        </is>
      </c>
      <c r="S7" s="57" t="inlineStr">
        <is>
          <t>A2</t>
        </is>
      </c>
      <c r="T7" s="57" t="inlineStr">
        <is>
          <t>A3</t>
        </is>
      </c>
      <c r="U7" s="57" t="inlineStr">
        <is>
          <t>O1</t>
        </is>
      </c>
      <c r="V7" s="57" t="inlineStr">
        <is>
          <t>O2</t>
        </is>
      </c>
      <c r="W7" s="63" t="n"/>
      <c r="X7" s="63" t="n"/>
      <c r="Y7" s="63" t="n"/>
      <c r="Z7" s="63" t="n"/>
      <c r="AA7" s="63" t="n"/>
      <c r="AB7" s="63" t="n"/>
      <c r="AC7" s="63" t="n"/>
      <c r="AD7" s="57" t="inlineStr">
        <is>
          <t>M1</t>
        </is>
      </c>
      <c r="AE7" s="57" t="inlineStr">
        <is>
          <t>M2</t>
        </is>
      </c>
      <c r="AF7" s="57" t="inlineStr">
        <is>
          <t>A1</t>
        </is>
      </c>
      <c r="AG7" s="57" t="inlineStr">
        <is>
          <t>A2</t>
        </is>
      </c>
      <c r="AH7" s="57" t="inlineStr">
        <is>
          <t>A3</t>
        </is>
      </c>
      <c r="AI7" s="25" t="inlineStr">
        <is>
          <t>O1</t>
        </is>
      </c>
      <c r="AJ7" s="24" t="n"/>
      <c r="AL7" s="56">
        <f>COUNTIF($F7:$AJ7,"ST*")</f>
        <v/>
      </c>
      <c r="AM7" s="56">
        <f>COUNTIF($F7:$AJ7,"M*")</f>
        <v/>
      </c>
      <c r="AN7" s="56">
        <f>COUNTIF($F7:$AJ7,"A*")</f>
        <v/>
      </c>
      <c r="AO7" s="56">
        <f>COUNTIF($F7:$AJ7,"N*")</f>
        <v/>
      </c>
      <c r="AP7" s="56">
        <f>COUNTIF($F7:$AJ7,"O*")</f>
        <v/>
      </c>
    </row>
    <row r="8" ht="18.75" customHeight="1" s="6">
      <c r="B8" s="37" t="n">
        <v>4</v>
      </c>
      <c r="C8" s="92" t="inlineStr">
        <is>
          <t>Adil Al Balushi - 81392</t>
        </is>
      </c>
      <c r="D8" s="134" t="n"/>
      <c r="F8" s="57" t="inlineStr">
        <is>
          <t>O1</t>
        </is>
      </c>
      <c r="G8" s="57" t="inlineStr">
        <is>
          <t>M1</t>
        </is>
      </c>
      <c r="H8" s="57" t="inlineStr">
        <is>
          <t>M2</t>
        </is>
      </c>
      <c r="I8" s="57" t="inlineStr">
        <is>
          <t>M3</t>
        </is>
      </c>
      <c r="J8" s="57" t="inlineStr">
        <is>
          <t>M4</t>
        </is>
      </c>
      <c r="K8" s="57" t="inlineStr">
        <is>
          <t>M5</t>
        </is>
      </c>
      <c r="L8" s="57" t="inlineStr">
        <is>
          <t>O1</t>
        </is>
      </c>
      <c r="M8" s="57" t="inlineStr">
        <is>
          <t>O2</t>
        </is>
      </c>
      <c r="N8" s="57" t="inlineStr">
        <is>
          <t>M1</t>
        </is>
      </c>
      <c r="O8" s="57" t="inlineStr">
        <is>
          <t>M2</t>
        </is>
      </c>
      <c r="P8" s="57" t="inlineStr">
        <is>
          <t>M3</t>
        </is>
      </c>
      <c r="Q8" s="57" t="inlineStr">
        <is>
          <t>M4</t>
        </is>
      </c>
      <c r="R8" s="57" t="inlineStr">
        <is>
          <t>M5</t>
        </is>
      </c>
      <c r="S8" s="57" t="inlineStr">
        <is>
          <t>O1</t>
        </is>
      </c>
      <c r="T8" s="57" t="inlineStr">
        <is>
          <t>O2</t>
        </is>
      </c>
      <c r="U8" s="57" t="inlineStr">
        <is>
          <t>M1</t>
        </is>
      </c>
      <c r="V8" s="57" t="inlineStr">
        <is>
          <t>M2</t>
        </is>
      </c>
      <c r="W8" s="57" t="inlineStr">
        <is>
          <t>M3</t>
        </is>
      </c>
      <c r="X8" s="57" t="inlineStr">
        <is>
          <t>M4</t>
        </is>
      </c>
      <c r="Y8" s="57" t="inlineStr">
        <is>
          <t>M5</t>
        </is>
      </c>
      <c r="Z8" s="57" t="inlineStr">
        <is>
          <t>O1</t>
        </is>
      </c>
      <c r="AA8" s="57" t="inlineStr">
        <is>
          <t>O2</t>
        </is>
      </c>
      <c r="AB8" s="57" t="inlineStr">
        <is>
          <t>M1</t>
        </is>
      </c>
      <c r="AC8" s="57" t="inlineStr">
        <is>
          <t>M2</t>
        </is>
      </c>
      <c r="AD8" s="57" t="inlineStr">
        <is>
          <t>M3</t>
        </is>
      </c>
      <c r="AE8" s="57" t="inlineStr">
        <is>
          <t>M4</t>
        </is>
      </c>
      <c r="AF8" s="57" t="inlineStr">
        <is>
          <t>M5</t>
        </is>
      </c>
      <c r="AG8" s="57" t="inlineStr">
        <is>
          <t>O1</t>
        </is>
      </c>
      <c r="AH8" s="57" t="inlineStr">
        <is>
          <t>O2</t>
        </is>
      </c>
      <c r="AI8" s="57" t="inlineStr">
        <is>
          <t>M1</t>
        </is>
      </c>
      <c r="AJ8" s="25" t="n"/>
      <c r="AL8" s="56">
        <f>COUNTIF($F8:$AJ8,"ST*")</f>
        <v/>
      </c>
      <c r="AM8" s="56">
        <f>COUNTIF($F8:$AJ8,"M*")</f>
        <v/>
      </c>
      <c r="AN8" s="56">
        <f>COUNTIF($F8:$AJ8,"A*")</f>
        <v/>
      </c>
      <c r="AO8" s="56">
        <f>COUNTIF($F8:$AJ8,"N*")</f>
        <v/>
      </c>
      <c r="AP8" s="56">
        <f>COUNTIF($F8:$AJ8,"O*")</f>
        <v/>
      </c>
    </row>
    <row r="9">
      <c r="F9" s="20" t="inlineStr">
        <is>
          <t xml:space="preserve"> </t>
        </is>
      </c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  <c r="AE9" s="20" t="n"/>
      <c r="AF9" s="20" t="n"/>
      <c r="AG9" s="20" t="n"/>
      <c r="AH9" s="20" t="n"/>
      <c r="AI9" s="20" t="n"/>
    </row>
    <row r="10" ht="18.75" customHeight="1" s="6">
      <c r="C10" s="90" t="inlineStr">
        <is>
          <t xml:space="preserve">Morning Shift </t>
        </is>
      </c>
      <c r="D10" s="134" t="n"/>
      <c r="E10" s="36" t="n"/>
      <c r="F10" s="37">
        <f>COUNTIF(F$5:F$8,"M*")</f>
        <v/>
      </c>
      <c r="G10" s="37">
        <f>COUNTIF(G$5:G$8,"M*")</f>
        <v/>
      </c>
      <c r="H10" s="37">
        <f>COUNTIF(H$5:H$8,"M*")</f>
        <v/>
      </c>
      <c r="I10" s="37">
        <f>COUNTIF(I$5:I$8,"M*")</f>
        <v/>
      </c>
      <c r="J10" s="37">
        <f>COUNTIF(J$5:J$8,"M*")</f>
        <v/>
      </c>
      <c r="K10" s="37">
        <f>COUNTIF(K$5:K$8,"M*")</f>
        <v/>
      </c>
      <c r="L10" s="37">
        <f>COUNTIF(L$5:L$8,"M*")</f>
        <v/>
      </c>
      <c r="M10" s="37">
        <f>COUNTIF(M$5:M$8,"M*")</f>
        <v/>
      </c>
      <c r="N10" s="37">
        <f>COUNTIF(N$5:N$8,"M*")</f>
        <v/>
      </c>
      <c r="O10" s="37">
        <f>COUNTIF(O$5:O$8,"M*")</f>
        <v/>
      </c>
      <c r="P10" s="37">
        <f>COUNTIF(P$5:P$8,"M*")</f>
        <v/>
      </c>
      <c r="Q10" s="37">
        <f>COUNTIF(Q$5:Q$8,"M*")</f>
        <v/>
      </c>
      <c r="R10" s="37">
        <f>COUNTIF(R$5:R$8,"M*")</f>
        <v/>
      </c>
      <c r="S10" s="37">
        <f>COUNTIF(S$5:S$8,"M*")</f>
        <v/>
      </c>
      <c r="T10" s="37">
        <f>COUNTIF(T$5:T$8,"M*")</f>
        <v/>
      </c>
      <c r="U10" s="37">
        <f>COUNTIF(U$5:U$8,"M*")</f>
        <v/>
      </c>
      <c r="V10" s="37">
        <f>COUNTIF(V$5:V$8,"M*")</f>
        <v/>
      </c>
      <c r="W10" s="37">
        <f>COUNTIF(W$5:W$8,"M*")</f>
        <v/>
      </c>
      <c r="X10" s="37">
        <f>COUNTIF(X$5:X$8,"M*")</f>
        <v/>
      </c>
      <c r="Y10" s="37">
        <f>COUNTIF(Y$5:Y$8,"M*")</f>
        <v/>
      </c>
      <c r="Z10" s="37">
        <f>COUNTIF(Z$5:Z$8,"M*")</f>
        <v/>
      </c>
      <c r="AA10" s="37">
        <f>COUNTIF(AA$5:AA$8,"M*")</f>
        <v/>
      </c>
      <c r="AB10" s="37">
        <f>COUNTIF(AB$5:AB$8,"M*")</f>
        <v/>
      </c>
      <c r="AC10" s="37">
        <f>COUNTIF(AC$5:AC$8,"M*")</f>
        <v/>
      </c>
      <c r="AD10" s="37">
        <f>COUNTIF(AD$5:AD$8,"M*")</f>
        <v/>
      </c>
      <c r="AE10" s="37">
        <f>COUNTIF(AE$5:AE$8,"M*")</f>
        <v/>
      </c>
      <c r="AF10" s="37">
        <f>COUNTIF(AF$5:AF$8,"M*")</f>
        <v/>
      </c>
      <c r="AG10" s="37">
        <f>COUNTIF(AG$5:AG$8,"M*")</f>
        <v/>
      </c>
      <c r="AH10" s="37">
        <f>COUNTIF(AH$5:AH$8,"M*")</f>
        <v/>
      </c>
      <c r="AI10" s="37">
        <f>COUNTIF(AI$5:AI$8,"M*")</f>
        <v/>
      </c>
      <c r="AJ10" s="37">
        <f>COUNTIF(AJ$5:AJ$8,"M*")</f>
        <v/>
      </c>
    </row>
    <row r="11" ht="18.75" customHeight="1" s="6">
      <c r="C11" s="90" t="inlineStr">
        <is>
          <t xml:space="preserve">Afternoon Shift </t>
        </is>
      </c>
      <c r="D11" s="134" t="n"/>
      <c r="E11" s="36" t="n"/>
      <c r="F11" s="37">
        <f>COUNTIF(F$5:F$8,"A*")</f>
        <v/>
      </c>
      <c r="G11" s="37">
        <f>COUNTIF(G$5:G$8,"A*")</f>
        <v/>
      </c>
      <c r="H11" s="37">
        <f>COUNTIF(H$5:H$8,"A*")</f>
        <v/>
      </c>
      <c r="I11" s="37">
        <f>COUNTIF(I$5:I$8,"A*")</f>
        <v/>
      </c>
      <c r="J11" s="37">
        <f>COUNTIF(J$5:J$8,"A*")</f>
        <v/>
      </c>
      <c r="K11" s="37">
        <f>COUNTIF(K$5:K$8,"A*")</f>
        <v/>
      </c>
      <c r="L11" s="37">
        <f>COUNTIF(L$5:L$8,"A*")</f>
        <v/>
      </c>
      <c r="M11" s="37">
        <f>COUNTIF(M$5:M$8,"A*")</f>
        <v/>
      </c>
      <c r="N11" s="37">
        <f>COUNTIF(N$5:N$8,"A*")</f>
        <v/>
      </c>
      <c r="O11" s="37">
        <f>COUNTIF(O$5:O$8,"A*")</f>
        <v/>
      </c>
      <c r="P11" s="37">
        <f>COUNTIF(P$5:P$8,"A*")</f>
        <v/>
      </c>
      <c r="Q11" s="37">
        <f>COUNTIF(Q$5:Q$8,"A*")</f>
        <v/>
      </c>
      <c r="R11" s="37">
        <f>COUNTIF(R$5:R$8,"A*")</f>
        <v/>
      </c>
      <c r="S11" s="37">
        <f>COUNTIF(S$5:S$8,"A*")</f>
        <v/>
      </c>
      <c r="T11" s="37">
        <f>COUNTIF(T$5:T$8,"A*")</f>
        <v/>
      </c>
      <c r="U11" s="37">
        <f>COUNTIF(U$5:U$8,"A*")</f>
        <v/>
      </c>
      <c r="V11" s="37">
        <f>COUNTIF(V$5:V$8,"A*")</f>
        <v/>
      </c>
      <c r="W11" s="37">
        <f>COUNTIF(W$5:W$8,"A*")</f>
        <v/>
      </c>
      <c r="X11" s="37">
        <f>COUNTIF(X$5:X$8,"A*")</f>
        <v/>
      </c>
      <c r="Y11" s="37">
        <f>COUNTIF(Y$5:Y$8,"A*")</f>
        <v/>
      </c>
      <c r="Z11" s="37">
        <f>COUNTIF(Z$5:Z$8,"A*")</f>
        <v/>
      </c>
      <c r="AA11" s="37">
        <f>COUNTIF(AA$5:AA$8,"A*")</f>
        <v/>
      </c>
      <c r="AB11" s="37">
        <f>COUNTIF(AB$5:AB$8,"A*")</f>
        <v/>
      </c>
      <c r="AC11" s="37">
        <f>COUNTIF(AC$5:AC$8,"A*")</f>
        <v/>
      </c>
      <c r="AD11" s="37">
        <f>COUNTIF(AD$5:AD$8,"A*")</f>
        <v/>
      </c>
      <c r="AE11" s="37">
        <f>COUNTIF(AE$5:AE$8,"A*")</f>
        <v/>
      </c>
      <c r="AF11" s="37">
        <f>COUNTIF(AF$5:AF$8,"A*")</f>
        <v/>
      </c>
      <c r="AG11" s="37">
        <f>COUNTIF(AG$5:AG$8,"A*")</f>
        <v/>
      </c>
      <c r="AH11" s="37">
        <f>COUNTIF(AH$5:AH$8,"A*")</f>
        <v/>
      </c>
      <c r="AI11" s="37">
        <f>COUNTIF(AI$5:AI$8,"A*")</f>
        <v/>
      </c>
      <c r="AJ11" s="37">
        <f>COUNTIF(AJ$5:AJ$8,"A*")</f>
        <v/>
      </c>
    </row>
    <row r="12" ht="18.75" customHeight="1" s="6">
      <c r="C12" s="90" t="inlineStr">
        <is>
          <t xml:space="preserve">Night Shift </t>
        </is>
      </c>
      <c r="D12" s="134" t="n"/>
      <c r="E12" s="36" t="n"/>
      <c r="F12" s="37">
        <f>COUNTIF(F$5:F$8,"N*")</f>
        <v/>
      </c>
      <c r="G12" s="37">
        <f>COUNTIF(G$5:G$8,"N*")</f>
        <v/>
      </c>
      <c r="H12" s="37">
        <f>COUNTIF(H$5:H$8,"N*")</f>
        <v/>
      </c>
      <c r="I12" s="37">
        <f>COUNTIF(I$5:I$8,"N*")</f>
        <v/>
      </c>
      <c r="J12" s="37">
        <f>COUNTIF(J$5:J$8,"N*")</f>
        <v/>
      </c>
      <c r="K12" s="37">
        <f>COUNTIF(K$5:K$8,"N*")</f>
        <v/>
      </c>
      <c r="L12" s="37">
        <f>COUNTIF(L$5:L$8,"N*")</f>
        <v/>
      </c>
      <c r="M12" s="37">
        <f>COUNTIF(M$5:M$8,"N*")</f>
        <v/>
      </c>
      <c r="N12" s="37">
        <f>COUNTIF(N$5:N$8,"N*")</f>
        <v/>
      </c>
      <c r="O12" s="37">
        <f>COUNTIF(O$5:O$8,"N*")</f>
        <v/>
      </c>
      <c r="P12" s="37">
        <f>COUNTIF(P$5:P$8,"N*")</f>
        <v/>
      </c>
      <c r="Q12" s="37">
        <f>COUNTIF(Q$5:Q$8,"N*")</f>
        <v/>
      </c>
      <c r="R12" s="37">
        <f>COUNTIF(R$5:R$8,"N*")</f>
        <v/>
      </c>
      <c r="S12" s="37">
        <f>COUNTIF(S$5:S$8,"N*")</f>
        <v/>
      </c>
      <c r="T12" s="37">
        <f>COUNTIF(T$5:T$8,"N*")</f>
        <v/>
      </c>
      <c r="U12" s="37">
        <f>COUNTIF(U$5:U$8,"N*")</f>
        <v/>
      </c>
      <c r="V12" s="37">
        <f>COUNTIF(V$5:V$8,"N*")</f>
        <v/>
      </c>
      <c r="W12" s="37">
        <f>COUNTIF(W$5:W$8,"N*")</f>
        <v/>
      </c>
      <c r="X12" s="37">
        <f>COUNTIF(X$5:X$8,"N*")</f>
        <v/>
      </c>
      <c r="Y12" s="37">
        <f>COUNTIF(Y$5:Y$8,"N*")</f>
        <v/>
      </c>
      <c r="Z12" s="37">
        <f>COUNTIF(Z$5:Z$8,"N*")</f>
        <v/>
      </c>
      <c r="AA12" s="37">
        <f>COUNTIF(AA$5:AA$8,"N*")</f>
        <v/>
      </c>
      <c r="AB12" s="37">
        <f>COUNTIF(AB$5:AB$8,"N*")</f>
        <v/>
      </c>
      <c r="AC12" s="37">
        <f>COUNTIF(AC$5:AC$8,"N*")</f>
        <v/>
      </c>
      <c r="AD12" s="37">
        <f>COUNTIF(AD$5:AD$8,"N*")</f>
        <v/>
      </c>
      <c r="AE12" s="37">
        <f>COUNTIF(AE$5:AE$8,"N*")</f>
        <v/>
      </c>
      <c r="AF12" s="37">
        <f>COUNTIF(AF$5:AF$8,"N*")</f>
        <v/>
      </c>
      <c r="AG12" s="37">
        <f>COUNTIF(AG$5:AG$8,"N*")</f>
        <v/>
      </c>
      <c r="AH12" s="37">
        <f>COUNTIF(AH$5:AH$8,"N*")</f>
        <v/>
      </c>
      <c r="AI12" s="37">
        <f>COUNTIF(AI$5:AI$8,"N*")</f>
        <v/>
      </c>
      <c r="AJ12" s="37">
        <f>COUNTIF(AJ$5:AJ$8,"N*")</f>
        <v/>
      </c>
    </row>
    <row r="13" ht="18.75" customHeight="1" s="6">
      <c r="C13" s="90" t="inlineStr">
        <is>
          <t>Offday</t>
        </is>
      </c>
      <c r="D13" s="134" t="n"/>
      <c r="E13" s="36" t="n"/>
      <c r="F13" s="37">
        <f>COUNTIF(F$5:F$8,"O*")</f>
        <v/>
      </c>
      <c r="G13" s="37">
        <f>COUNTIF(G$5:G$8,"O*")</f>
        <v/>
      </c>
      <c r="H13" s="37">
        <f>COUNTIF(H$5:H$8,"O*")</f>
        <v/>
      </c>
      <c r="I13" s="37">
        <f>COUNTIF(I$5:I$8,"O*")</f>
        <v/>
      </c>
      <c r="J13" s="37">
        <f>COUNTIF(J$5:J$8,"O*")</f>
        <v/>
      </c>
      <c r="K13" s="37">
        <f>COUNTIF(K$5:K$8,"O*")</f>
        <v/>
      </c>
      <c r="L13" s="37">
        <f>COUNTIF(L$5:L$8,"O*")</f>
        <v/>
      </c>
      <c r="M13" s="37">
        <f>COUNTIF(M$5:M$8,"O*")</f>
        <v/>
      </c>
      <c r="N13" s="37">
        <f>COUNTIF(N$5:N$8,"O*")</f>
        <v/>
      </c>
      <c r="O13" s="37">
        <f>COUNTIF(O$5:O$8,"O*")</f>
        <v/>
      </c>
      <c r="P13" s="37">
        <f>COUNTIF(P$5:P$8,"O*")</f>
        <v/>
      </c>
      <c r="Q13" s="37">
        <f>COUNTIF(Q$5:Q$8,"O*")</f>
        <v/>
      </c>
      <c r="R13" s="37">
        <f>COUNTIF(R$5:R$8,"O*")</f>
        <v/>
      </c>
      <c r="S13" s="37">
        <f>COUNTIF(S$5:S$8,"O*")</f>
        <v/>
      </c>
      <c r="T13" s="37">
        <f>COUNTIF(T$5:T$8,"O*")</f>
        <v/>
      </c>
      <c r="U13" s="37">
        <f>COUNTIF(U$5:U$8,"O*")</f>
        <v/>
      </c>
      <c r="V13" s="37">
        <f>COUNTIF(V$5:V$8,"O*")</f>
        <v/>
      </c>
      <c r="W13" s="37">
        <f>COUNTIF(W$5:W$8,"O*")</f>
        <v/>
      </c>
      <c r="X13" s="37">
        <f>COUNTIF(X$5:X$8,"O*")</f>
        <v/>
      </c>
      <c r="Y13" s="37">
        <f>COUNTIF(Y$5:Y$8,"O*")</f>
        <v/>
      </c>
      <c r="Z13" s="37">
        <f>COUNTIF(Z$5:Z$8,"O*")</f>
        <v/>
      </c>
      <c r="AA13" s="37">
        <f>COUNTIF(AA$5:AA$8,"O*")</f>
        <v/>
      </c>
      <c r="AB13" s="37">
        <f>COUNTIF(AB$5:AB$8,"O*")</f>
        <v/>
      </c>
      <c r="AC13" s="37">
        <f>COUNTIF(AC$5:AC$8,"O*")</f>
        <v/>
      </c>
      <c r="AD13" s="37">
        <f>COUNTIF(AD$5:AD$8,"O*")</f>
        <v/>
      </c>
      <c r="AE13" s="37">
        <f>COUNTIF(AE$5:AE$8,"O*")</f>
        <v/>
      </c>
      <c r="AF13" s="37">
        <f>COUNTIF(AF$5:AF$8,"O*")</f>
        <v/>
      </c>
      <c r="AG13" s="37">
        <f>COUNTIF(AG$5:AG$8,"O*")</f>
        <v/>
      </c>
      <c r="AH13" s="37">
        <f>COUNTIF(AH$5:AH$8,"O*")</f>
        <v/>
      </c>
      <c r="AI13" s="37">
        <f>COUNTIF(AI$5:AI$8,"O*")</f>
        <v/>
      </c>
      <c r="AJ13" s="37">
        <f>COUNTIF(AJ$5:AJ$8,"O*")</f>
        <v/>
      </c>
    </row>
    <row r="14" ht="18.75" customHeight="1" s="6">
      <c r="C14" s="90" t="inlineStr">
        <is>
          <t>Training</t>
        </is>
      </c>
      <c r="D14" s="134" t="n"/>
      <c r="E14" s="36" t="n"/>
      <c r="F14" s="37">
        <f>COUNTIF(F$5:F$8,"TR*")</f>
        <v/>
      </c>
      <c r="G14" s="37">
        <f>COUNTIF(G$5:G$8,"TR*")</f>
        <v/>
      </c>
      <c r="H14" s="37">
        <f>COUNTIF(H$5:H$8,"TR*")</f>
        <v/>
      </c>
      <c r="I14" s="37">
        <f>COUNTIF(I$5:I$8,"TR*")</f>
        <v/>
      </c>
      <c r="J14" s="37">
        <f>COUNTIF(J$5:J$8,"TR*")</f>
        <v/>
      </c>
      <c r="K14" s="37">
        <f>COUNTIF(K$5:K$8,"TR*")</f>
        <v/>
      </c>
      <c r="L14" s="37">
        <f>COUNTIF(L$5:L$8,"TR*")</f>
        <v/>
      </c>
      <c r="M14" s="37">
        <f>COUNTIF(M$5:M$8,"TR*")</f>
        <v/>
      </c>
      <c r="N14" s="37">
        <f>COUNTIF(N$5:N$8,"TR*")</f>
        <v/>
      </c>
      <c r="O14" s="37">
        <f>COUNTIF(O$5:O$8,"TR*")</f>
        <v/>
      </c>
      <c r="P14" s="37">
        <f>COUNTIF(P$5:P$8,"TR*")</f>
        <v/>
      </c>
      <c r="Q14" s="37">
        <f>COUNTIF(Q$5:Q$8,"TR*")</f>
        <v/>
      </c>
      <c r="R14" s="37">
        <f>COUNTIF(R$5:R$8,"TR*")</f>
        <v/>
      </c>
      <c r="S14" s="37">
        <f>COUNTIF(S$5:S$8,"TR*")</f>
        <v/>
      </c>
      <c r="T14" s="37">
        <f>COUNTIF(T$5:T$8,"TR*")</f>
        <v/>
      </c>
      <c r="U14" s="37">
        <f>COUNTIF(U$5:U$8,"TR*")</f>
        <v/>
      </c>
      <c r="V14" s="37">
        <f>COUNTIF(V$5:V$8,"TR*")</f>
        <v/>
      </c>
      <c r="W14" s="37">
        <f>COUNTIF(W$5:W$8,"TR*")</f>
        <v/>
      </c>
      <c r="X14" s="37">
        <f>COUNTIF(X$5:X$8,"TR*")</f>
        <v/>
      </c>
      <c r="Y14" s="37">
        <f>COUNTIF(Y$5:Y$8,"TR*")</f>
        <v/>
      </c>
      <c r="Z14" s="37">
        <f>COUNTIF(Z$5:Z$8,"TR*")</f>
        <v/>
      </c>
      <c r="AA14" s="37">
        <f>COUNTIF(AA$5:AA$8,"TR*")</f>
        <v/>
      </c>
      <c r="AB14" s="37">
        <f>COUNTIF(AB$5:AB$8,"TR*")</f>
        <v/>
      </c>
      <c r="AC14" s="37">
        <f>COUNTIF(AC$5:AC$8,"TR*")</f>
        <v/>
      </c>
      <c r="AD14" s="37">
        <f>COUNTIF(AD$5:AD$8,"TR*")</f>
        <v/>
      </c>
      <c r="AE14" s="37">
        <f>COUNTIF(AE$5:AE$8,"TR*")</f>
        <v/>
      </c>
      <c r="AF14" s="37">
        <f>COUNTIF(AF$5:AF$8,"TR*")</f>
        <v/>
      </c>
      <c r="AG14" s="37">
        <f>COUNTIF(AG$5:AG$8,"TR*")</f>
        <v/>
      </c>
      <c r="AH14" s="37">
        <f>COUNTIF(AH$5:AH$8,"TR*")</f>
        <v/>
      </c>
      <c r="AI14" s="37">
        <f>COUNTIF(AI$5:AI$8,"TR*")</f>
        <v/>
      </c>
      <c r="AJ14" s="37">
        <f>COUNTIF(AJ$5:AJ$8,"TR*")</f>
        <v/>
      </c>
    </row>
    <row r="15" ht="18.75" customHeight="1" s="6">
      <c r="C15" s="90" t="inlineStr">
        <is>
          <t>Standby Staffs</t>
        </is>
      </c>
      <c r="D15" s="134" t="n"/>
      <c r="E15" s="36" t="n"/>
      <c r="F15" s="37">
        <f>COUNTIF(F$5:F$8,"ST*")</f>
        <v/>
      </c>
      <c r="G15" s="37">
        <f>COUNTIF(G$5:G$8,"ST*")</f>
        <v/>
      </c>
      <c r="H15" s="37">
        <f>COUNTIF(H$5:H$8,"ST*")</f>
        <v/>
      </c>
      <c r="I15" s="37">
        <f>COUNTIF(I$5:I$8,"ST*")</f>
        <v/>
      </c>
      <c r="J15" s="37">
        <f>COUNTIF(J$5:J$8,"ST*")</f>
        <v/>
      </c>
      <c r="K15" s="37">
        <f>COUNTIF(K$5:K$8,"ST*")</f>
        <v/>
      </c>
      <c r="L15" s="37">
        <f>COUNTIF(L$5:L$8,"ST*")</f>
        <v/>
      </c>
      <c r="M15" s="37">
        <f>COUNTIF(M$5:M$8,"ST*")</f>
        <v/>
      </c>
      <c r="N15" s="37">
        <f>COUNTIF(N$5:N$8,"ST*")</f>
        <v/>
      </c>
      <c r="O15" s="37">
        <f>COUNTIF(O$5:O$8,"ST*")</f>
        <v/>
      </c>
      <c r="P15" s="37">
        <f>COUNTIF(P$5:P$8,"ST*")</f>
        <v/>
      </c>
      <c r="Q15" s="37">
        <f>COUNTIF(Q$5:Q$8,"ST*")</f>
        <v/>
      </c>
      <c r="R15" s="37">
        <f>COUNTIF(R$5:R$8,"ST*")</f>
        <v/>
      </c>
      <c r="S15" s="37">
        <f>COUNTIF(S$5:S$8,"ST*")</f>
        <v/>
      </c>
      <c r="T15" s="37">
        <f>COUNTIF(T$5:T$8,"ST*")</f>
        <v/>
      </c>
      <c r="U15" s="37">
        <f>COUNTIF(U$5:U$8,"ST*")</f>
        <v/>
      </c>
      <c r="V15" s="37">
        <f>COUNTIF(V$5:V$8,"ST*")</f>
        <v/>
      </c>
      <c r="W15" s="37">
        <f>COUNTIF(W$5:W$8,"ST*")</f>
        <v/>
      </c>
      <c r="X15" s="37">
        <f>COUNTIF(X$5:X$8,"ST*")</f>
        <v/>
      </c>
      <c r="Y15" s="37">
        <f>COUNTIF(Y$5:Y$8,"ST*")</f>
        <v/>
      </c>
      <c r="Z15" s="37">
        <f>COUNTIF(Z$5:Z$8,"ST*")</f>
        <v/>
      </c>
      <c r="AA15" s="37">
        <f>COUNTIF(AA$5:AA$8,"ST*")</f>
        <v/>
      </c>
      <c r="AB15" s="37">
        <f>COUNTIF(AB$5:AB$8,"ST*")</f>
        <v/>
      </c>
      <c r="AC15" s="37">
        <f>COUNTIF(AC$5:AC$8,"ST*")</f>
        <v/>
      </c>
      <c r="AD15" s="37">
        <f>COUNTIF(AD$5:AD$8,"ST*")</f>
        <v/>
      </c>
      <c r="AE15" s="37">
        <f>COUNTIF(AE$5:AE$8,"ST*")</f>
        <v/>
      </c>
      <c r="AF15" s="37">
        <f>COUNTIF(AF$5:AF$8,"ST*")</f>
        <v/>
      </c>
      <c r="AG15" s="37">
        <f>COUNTIF(AG$5:AG$8,"ST*")</f>
        <v/>
      </c>
      <c r="AH15" s="37">
        <f>COUNTIF(AH$5:AH$8,"ST*")</f>
        <v/>
      </c>
      <c r="AI15" s="37">
        <f>COUNTIF(AI$5:AI$8,"ST*")</f>
        <v/>
      </c>
      <c r="AJ15" s="37">
        <f>COUNTIF(AJ$5:AJ$8,"ST*")</f>
        <v/>
      </c>
    </row>
    <row r="16" ht="18.75" customHeight="1" s="6">
      <c r="C16" s="88" t="inlineStr">
        <is>
          <t>Extra Staffs</t>
        </is>
      </c>
      <c r="D16" s="134" t="n"/>
      <c r="E16" s="38" t="n"/>
      <c r="F16" s="59">
        <f>F18-F19</f>
        <v/>
      </c>
      <c r="G16" s="59">
        <f>G18-G19</f>
        <v/>
      </c>
      <c r="H16" s="59">
        <f>H18-H19</f>
        <v/>
      </c>
      <c r="I16" s="59">
        <f>I18-I19</f>
        <v/>
      </c>
      <c r="J16" s="59">
        <f>J18-J19</f>
        <v/>
      </c>
      <c r="K16" s="59">
        <f>K18-K19</f>
        <v/>
      </c>
      <c r="L16" s="59">
        <f>L18-L19</f>
        <v/>
      </c>
      <c r="M16" s="59">
        <f>M18-M19</f>
        <v/>
      </c>
      <c r="N16" s="59">
        <f>N18-N19</f>
        <v/>
      </c>
      <c r="O16" s="59">
        <f>O18-O19</f>
        <v/>
      </c>
      <c r="P16" s="59">
        <f>P18-P19</f>
        <v/>
      </c>
      <c r="Q16" s="59">
        <f>Q18-Q19</f>
        <v/>
      </c>
      <c r="R16" s="59">
        <f>R18-R19</f>
        <v/>
      </c>
      <c r="S16" s="59">
        <f>S18-S19</f>
        <v/>
      </c>
      <c r="T16" s="59">
        <f>T18-T19</f>
        <v/>
      </c>
      <c r="U16" s="59">
        <f>U18-U19</f>
        <v/>
      </c>
      <c r="V16" s="59">
        <f>V18-V19</f>
        <v/>
      </c>
      <c r="W16" s="59">
        <f>W18-W19</f>
        <v/>
      </c>
      <c r="X16" s="59">
        <f>X18-X19</f>
        <v/>
      </c>
      <c r="Y16" s="59">
        <f>Y18-Y19</f>
        <v/>
      </c>
      <c r="Z16" s="59">
        <f>Z18-Z19</f>
        <v/>
      </c>
      <c r="AA16" s="59">
        <f>AA18-AA19</f>
        <v/>
      </c>
      <c r="AB16" s="59">
        <f>AB18-AB19</f>
        <v/>
      </c>
      <c r="AC16" s="59">
        <f>AC18-AC19</f>
        <v/>
      </c>
      <c r="AD16" s="59">
        <f>AD18-AD19</f>
        <v/>
      </c>
      <c r="AE16" s="59">
        <f>AE18-AE19</f>
        <v/>
      </c>
      <c r="AF16" s="59">
        <f>AF18-AF19</f>
        <v/>
      </c>
      <c r="AG16" s="59">
        <f>AG18-AG19</f>
        <v/>
      </c>
      <c r="AH16" s="59">
        <f>AH18-AH19</f>
        <v/>
      </c>
      <c r="AI16" s="59">
        <f>AI18-AI19</f>
        <v/>
      </c>
      <c r="AJ16" s="59">
        <f>AJ18-AJ19</f>
        <v/>
      </c>
    </row>
    <row r="17" ht="9.75" customHeight="1" s="6">
      <c r="C17" s="40" t="n"/>
      <c r="D17" s="40" t="n"/>
      <c r="E17" s="36" t="n"/>
      <c r="F17" s="89" t="n"/>
      <c r="G17" s="133" t="n"/>
      <c r="H17" s="133" t="n"/>
      <c r="I17" s="133" t="n"/>
      <c r="J17" s="133" t="n"/>
      <c r="K17" s="133" t="n"/>
      <c r="L17" s="133" t="n"/>
      <c r="M17" s="133" t="n"/>
      <c r="N17" s="133" t="n"/>
      <c r="O17" s="133" t="n"/>
      <c r="P17" s="133" t="n"/>
      <c r="Q17" s="133" t="n"/>
      <c r="R17" s="133" t="n"/>
      <c r="S17" s="133" t="n"/>
      <c r="T17" s="133" t="n"/>
      <c r="U17" s="133" t="n"/>
      <c r="V17" s="133" t="n"/>
      <c r="W17" s="133" t="n"/>
      <c r="X17" s="133" t="n"/>
      <c r="Y17" s="133" t="n"/>
      <c r="Z17" s="133" t="n"/>
      <c r="AA17" s="133" t="n"/>
      <c r="AB17" s="133" t="n"/>
      <c r="AC17" s="133" t="n"/>
      <c r="AD17" s="133" t="n"/>
      <c r="AE17" s="133" t="n"/>
      <c r="AF17" s="133" t="n"/>
      <c r="AG17" s="133" t="n"/>
      <c r="AH17" s="133" t="n"/>
      <c r="AI17" s="133" t="n"/>
      <c r="AJ17" s="133" t="n"/>
    </row>
    <row r="18" ht="18.75" customHeight="1" s="6">
      <c r="C18" s="90" t="inlineStr">
        <is>
          <t xml:space="preserve">On duty </t>
        </is>
      </c>
      <c r="D18" s="134" t="n"/>
      <c r="E18" s="36" t="n"/>
      <c r="F18" s="41">
        <f>SUM(F10:F12)</f>
        <v/>
      </c>
      <c r="G18" s="41">
        <f>SUM(G10:G12)</f>
        <v/>
      </c>
      <c r="H18" s="41">
        <f>SUM(H10:H12)</f>
        <v/>
      </c>
      <c r="I18" s="41">
        <f>SUM(I10:I12)</f>
        <v/>
      </c>
      <c r="J18" s="41">
        <f>SUM(J10:J12)</f>
        <v/>
      </c>
      <c r="K18" s="41">
        <f>SUM(K10:K12)</f>
        <v/>
      </c>
      <c r="L18" s="41">
        <f>SUM(L10:L12)</f>
        <v/>
      </c>
      <c r="M18" s="41">
        <f>SUM(M10:M12)</f>
        <v/>
      </c>
      <c r="N18" s="41">
        <f>SUM(N10:N12)</f>
        <v/>
      </c>
      <c r="O18" s="41">
        <f>SUM(O10:O12)</f>
        <v/>
      </c>
      <c r="P18" s="41">
        <f>SUM(P10:P12)</f>
        <v/>
      </c>
      <c r="Q18" s="41">
        <f>SUM(Q10:Q12)</f>
        <v/>
      </c>
      <c r="R18" s="41">
        <f>SUM(R10:R12)</f>
        <v/>
      </c>
      <c r="S18" s="41">
        <f>SUM(S10:S12)</f>
        <v/>
      </c>
      <c r="T18" s="41">
        <f>SUM(T10:T12)</f>
        <v/>
      </c>
      <c r="U18" s="41">
        <f>SUM(U10:U12)</f>
        <v/>
      </c>
      <c r="V18" s="41">
        <f>SUM(V10:V12)</f>
        <v/>
      </c>
      <c r="W18" s="41">
        <f>SUM(W10:W12)</f>
        <v/>
      </c>
      <c r="X18" s="41">
        <f>SUM(X10:X12)</f>
        <v/>
      </c>
      <c r="Y18" s="41">
        <f>SUM(Y10:Y12)</f>
        <v/>
      </c>
      <c r="Z18" s="41">
        <f>SUM(Z10:Z12)</f>
        <v/>
      </c>
      <c r="AA18" s="41">
        <f>SUM(AA10:AA12)</f>
        <v/>
      </c>
      <c r="AB18" s="41">
        <f>SUM(AB10:AB12)</f>
        <v/>
      </c>
      <c r="AC18" s="41">
        <f>SUM(AC10:AC12)</f>
        <v/>
      </c>
      <c r="AD18" s="41">
        <f>SUM(AD10:AD12)</f>
        <v/>
      </c>
      <c r="AE18" s="41">
        <f>SUM(AE10:AE12)</f>
        <v/>
      </c>
      <c r="AF18" s="41">
        <f>SUM(AF10:AF12)</f>
        <v/>
      </c>
      <c r="AG18" s="41">
        <f>SUM(AG10:AG12)</f>
        <v/>
      </c>
      <c r="AH18" s="41">
        <f>SUM(AH10:AH12)</f>
        <v/>
      </c>
      <c r="AI18" s="41">
        <f>SUM(AI10:AI12)</f>
        <v/>
      </c>
      <c r="AJ18" s="41" t="n">
        <v>18</v>
      </c>
    </row>
    <row r="19" ht="18.75" customHeight="1" s="6">
      <c r="C19" s="90" t="inlineStr">
        <is>
          <t xml:space="preserve">Minimum Requirement </t>
        </is>
      </c>
      <c r="D19" s="134" t="n"/>
      <c r="E19" s="36" t="n"/>
      <c r="F19" s="37" t="n">
        <v>2</v>
      </c>
      <c r="G19" s="37" t="n">
        <v>2</v>
      </c>
      <c r="H19" s="37" t="n">
        <v>2</v>
      </c>
      <c r="I19" s="37" t="n">
        <v>2</v>
      </c>
      <c r="J19" s="37" t="n">
        <v>2</v>
      </c>
      <c r="K19" s="37" t="n">
        <v>2</v>
      </c>
      <c r="L19" s="37" t="n">
        <v>2</v>
      </c>
      <c r="M19" s="37" t="n">
        <v>2</v>
      </c>
      <c r="N19" s="37" t="n">
        <v>2</v>
      </c>
      <c r="O19" s="37" t="n">
        <v>2</v>
      </c>
      <c r="P19" s="37" t="n">
        <v>2</v>
      </c>
      <c r="Q19" s="37" t="n">
        <v>2</v>
      </c>
      <c r="R19" s="37" t="n">
        <v>2</v>
      </c>
      <c r="S19" s="37" t="n">
        <v>2</v>
      </c>
      <c r="T19" s="37" t="n">
        <v>2</v>
      </c>
      <c r="U19" s="37" t="n">
        <v>2</v>
      </c>
      <c r="V19" s="37" t="n">
        <v>2</v>
      </c>
      <c r="W19" s="37" t="n">
        <v>2</v>
      </c>
      <c r="X19" s="37" t="n">
        <v>2</v>
      </c>
      <c r="Y19" s="37" t="n">
        <v>2</v>
      </c>
      <c r="Z19" s="37" t="n">
        <v>2</v>
      </c>
      <c r="AA19" s="37" t="n">
        <v>2</v>
      </c>
      <c r="AB19" s="37" t="n">
        <v>2</v>
      </c>
      <c r="AC19" s="37" t="n">
        <v>2</v>
      </c>
      <c r="AD19" s="37" t="n">
        <v>2</v>
      </c>
      <c r="AE19" s="37" t="n">
        <v>2</v>
      </c>
      <c r="AF19" s="37" t="n">
        <v>2</v>
      </c>
      <c r="AG19" s="37" t="n">
        <v>2</v>
      </c>
      <c r="AH19" s="37" t="n">
        <v>2</v>
      </c>
      <c r="AI19" s="37" t="n">
        <v>2</v>
      </c>
      <c r="AJ19" s="37" t="n">
        <v>2</v>
      </c>
    </row>
    <row r="20" ht="18.75" customHeight="1" s="6">
      <c r="C20" s="90" t="inlineStr">
        <is>
          <t xml:space="preserve">Total Staffs  </t>
        </is>
      </c>
      <c r="D20" s="134" t="n"/>
      <c r="E20" s="36" t="n"/>
      <c r="F20" s="37">
        <f>SUM(F10,F11,F12,F13,F15)</f>
        <v/>
      </c>
      <c r="G20" s="37">
        <f>SUM(G10,G11,G12,G13,G15)</f>
        <v/>
      </c>
      <c r="H20" s="37">
        <f>SUM(H10,H11,H12,H13,H15)</f>
        <v/>
      </c>
      <c r="I20" s="37">
        <f>SUM(I10,I11,I12,I13,I15)</f>
        <v/>
      </c>
      <c r="J20" s="37">
        <f>SUM(J10,J11,J12,J13,J15)</f>
        <v/>
      </c>
      <c r="K20" s="37">
        <f>SUM(K10,K11,K12,K13,K15)</f>
        <v/>
      </c>
      <c r="L20" s="37">
        <f>SUM(L10,L11,L12,L13,L15)</f>
        <v/>
      </c>
      <c r="M20" s="37">
        <f>SUM(M10,M11,M12,M13,M15)</f>
        <v/>
      </c>
      <c r="N20" s="37">
        <f>SUM(N10,N11,N12,N13,N15)</f>
        <v/>
      </c>
      <c r="O20" s="37">
        <f>SUM(O10,O11,O12,O13,O15)</f>
        <v/>
      </c>
      <c r="P20" s="37">
        <f>SUM(P10,P11,P12,P13,P15)</f>
        <v/>
      </c>
      <c r="Q20" s="37">
        <f>SUM(Q10,Q11,Q12,Q13,Q15)</f>
        <v/>
      </c>
      <c r="R20" s="37">
        <f>SUM(R10,R11,R12,R13,R15)</f>
        <v/>
      </c>
      <c r="S20" s="37">
        <f>SUM(S10,S11,S12,S13,S15)</f>
        <v/>
      </c>
      <c r="T20" s="37">
        <f>SUM(T10,T11,T12,T13,T15)</f>
        <v/>
      </c>
      <c r="U20" s="37">
        <f>SUM(U10,U11,U12,U13,U15)</f>
        <v/>
      </c>
      <c r="V20" s="37">
        <f>SUM(V10,V11,V12,V13,V15)</f>
        <v/>
      </c>
      <c r="W20" s="37">
        <f>SUM(W10,W11,W12,W13,W15)</f>
        <v/>
      </c>
      <c r="X20" s="37">
        <f>SUM(X10,X11,X12,X13,X15)</f>
        <v/>
      </c>
      <c r="Y20" s="37">
        <f>SUM(Y10,Y11,Y12,Y13,Y15)</f>
        <v/>
      </c>
      <c r="Z20" s="37">
        <f>SUM(Z10,Z11,Z12,Z13,Z15)</f>
        <v/>
      </c>
      <c r="AA20" s="37">
        <f>SUM(AA10,AA11,AA12,AA13,AA15)</f>
        <v/>
      </c>
      <c r="AB20" s="37">
        <f>SUM(AB10,AB11,AB12,AB13,AB15)</f>
        <v/>
      </c>
      <c r="AC20" s="37">
        <f>SUM(AC10,AC11,AC12,AC13,AC15)</f>
        <v/>
      </c>
      <c r="AD20" s="37">
        <f>SUM(AD10,AD11,AD12,AD13,AD15)</f>
        <v/>
      </c>
      <c r="AE20" s="37">
        <f>SUM(AE10,AE11,AE12,AE13,AE15)</f>
        <v/>
      </c>
      <c r="AF20" s="37">
        <f>SUM(AF10,AF11,AF12,AF13,AF15)</f>
        <v/>
      </c>
      <c r="AG20" s="37">
        <f>SUM(AG10,AG11,AG12,AG13,AG15)</f>
        <v/>
      </c>
      <c r="AH20" s="37">
        <f>SUM(AH10,AH11,AH12,AH13,AH15)</f>
        <v/>
      </c>
      <c r="AI20" s="37">
        <f>SUM(AI10,AI11,AI12,AI13,AI15)</f>
        <v/>
      </c>
      <c r="AJ20" s="37" t="n">
        <v>35</v>
      </c>
    </row>
  </sheetData>
  <mergeCells count="22">
    <mergeCell ref="AP2:AP4"/>
    <mergeCell ref="F2:AJ2"/>
    <mergeCell ref="AL2:AL4"/>
    <mergeCell ref="AM2:AM4"/>
    <mergeCell ref="AN2:AN4"/>
    <mergeCell ref="AO2:AO4"/>
    <mergeCell ref="B3:D4"/>
    <mergeCell ref="C5:D5"/>
    <mergeCell ref="C6:D6"/>
    <mergeCell ref="C7:D7"/>
    <mergeCell ref="C8:D8"/>
    <mergeCell ref="C20:D20"/>
    <mergeCell ref="C10:D10"/>
    <mergeCell ref="C11:D11"/>
    <mergeCell ref="C12:D12"/>
    <mergeCell ref="C13:D13"/>
    <mergeCell ref="C14:D14"/>
    <mergeCell ref="C15:D15"/>
    <mergeCell ref="C16:D16"/>
    <mergeCell ref="F17:AJ17"/>
    <mergeCell ref="C18:D18"/>
    <mergeCell ref="C19:D19"/>
  </mergeCells>
  <conditionalFormatting sqref="F5:AI8 AD6:AJ6">
    <cfRule type="containsText" priority="3" operator="containsText" dxfId="72" text="TR">
      <formula>NOT(ISERROR(SEARCH("TR",F5)))</formula>
    </cfRule>
  </conditionalFormatting>
  <conditionalFormatting sqref="F5:AJ8">
    <cfRule type="containsText" priority="5" operator="containsText" dxfId="8" text="STN">
      <formula>NOT(ISERROR(SEARCH("STN",F5)))</formula>
    </cfRule>
    <cfRule type="containsText" priority="6" operator="containsText" dxfId="20" text="STN">
      <formula>NOT(ISERROR(SEARCH("STN",F5)))</formula>
    </cfRule>
    <cfRule type="containsText" priority="7" operator="containsText" dxfId="4" text="STM">
      <formula>NOT(ISERROR(SEARCH("STM",F5)))</formula>
    </cfRule>
    <cfRule type="containsText" priority="8" operator="containsText" dxfId="17" text="M">
      <formula>NOT(ISERROR(SEARCH("M",F5)))</formula>
    </cfRule>
    <cfRule type="containsText" priority="9" operator="containsText" dxfId="17" text="STM1">
      <formula>NOT(ISERROR(SEARCH("STM1",F5)))</formula>
    </cfRule>
    <cfRule type="containsText" priority="10" operator="containsText" dxfId="16" text="M">
      <formula>NOT(ISERROR(SEARCH("M",F5)))</formula>
    </cfRule>
    <cfRule type="containsText" priority="11" operator="containsText" dxfId="15" text="STM">
      <formula>NOT(ISERROR(SEARCH("STM",F5)))</formula>
    </cfRule>
    <cfRule type="containsText" priority="12" operator="containsText" dxfId="14" text="STM">
      <formula>NOT(ISERROR(SEARCH("STM",F5)))</formula>
    </cfRule>
    <cfRule type="containsText" priority="13" operator="containsText" dxfId="6" text="STM1">
      <formula>NOT(ISERROR(SEARCH("STM1",F5)))</formula>
    </cfRule>
    <cfRule type="containsText" priority="14" operator="containsText" dxfId="5" text="STA">
      <formula>NOT(ISERROR(SEARCH("STA",F5)))</formula>
    </cfRule>
    <cfRule type="containsText" priority="15" operator="containsText" dxfId="4" text="STM1">
      <formula>NOT(ISERROR(SEARCH("STM1",F5)))</formula>
    </cfRule>
    <cfRule type="containsText" priority="16" operator="containsText" dxfId="3" text="O">
      <formula>NOT(ISERROR(SEARCH("O",F5)))</formula>
    </cfRule>
    <cfRule type="containsText" priority="17" operator="containsText" dxfId="2" text="N">
      <formula>NOT(ISERROR(SEARCH("N",F5)))</formula>
    </cfRule>
    <cfRule type="containsText" priority="18" operator="containsText" dxfId="1" text="A">
      <formula>NOT(ISERROR(SEARCH("A",F5)))</formula>
    </cfRule>
    <cfRule type="containsText" priority="19" operator="containsText" dxfId="0" text="M">
      <formula>NOT(ISERROR(SEARCH("M",F5)))</formula>
    </cfRule>
  </conditionalFormatting>
  <conditionalFormatting sqref="H8">
    <cfRule type="expression" priority="4" dxfId="89">
      <formula>LEFT(#REF!,1)="TR"</formula>
    </cfRule>
  </conditionalFormatting>
  <conditionalFormatting sqref="P8 X8">
    <cfRule type="expression" priority="1" dxfId="89">
      <formula>LEFT(#REF!,1)="TR"</formula>
    </cfRule>
  </conditionalFormatting>
  <conditionalFormatting sqref="P8">
    <cfRule type="expression" priority="2" dxfId="89">
      <formula>LEFT(#REF!,1)="TR"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AP2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T15" sqref="T15"/>
    </sheetView>
  </sheetViews>
  <sheetFormatPr baseColWidth="8" defaultRowHeight="15.75"/>
  <cols>
    <col width="3.42578125" customWidth="1" style="18" min="1" max="1"/>
    <col width="7.140625" customWidth="1" style="18" min="2" max="2"/>
    <col width="12.85546875" customWidth="1" style="18" min="3" max="3"/>
    <col width="31.5703125" customWidth="1" style="20" min="4" max="4"/>
    <col width="2.28515625" customWidth="1" style="18" min="5" max="5"/>
    <col width="10.7109375" customWidth="1" style="18" min="6" max="36"/>
    <col width="4.28515625" customWidth="1" style="18" min="37" max="37"/>
    <col width="9.140625" customWidth="1" style="18" min="38" max="41"/>
    <col width="12.28515625" bestFit="1" customWidth="1" style="18" min="42" max="42"/>
    <col width="9.140625" customWidth="1" style="18" min="43" max="16384"/>
  </cols>
  <sheetData>
    <row r="1" ht="16.5" customHeight="1" s="6" thickBot="1"/>
    <row r="2" ht="39" customHeight="1" s="6" thickBot="1">
      <c r="F2" s="93" t="inlineStr">
        <is>
          <t>Export Checkers Roster for the Month of NOVEMBER 2025</t>
        </is>
      </c>
      <c r="G2" s="139" t="n"/>
      <c r="H2" s="139" t="n"/>
      <c r="I2" s="139" t="n"/>
      <c r="J2" s="139" t="n"/>
      <c r="K2" s="139" t="n"/>
      <c r="L2" s="139" t="n"/>
      <c r="M2" s="139" t="n"/>
      <c r="N2" s="139" t="n"/>
      <c r="O2" s="139" t="n"/>
      <c r="P2" s="139" t="n"/>
      <c r="Q2" s="139" t="n"/>
      <c r="R2" s="139" t="n"/>
      <c r="S2" s="139" t="n"/>
      <c r="T2" s="139" t="n"/>
      <c r="U2" s="139" t="n"/>
      <c r="V2" s="139" t="n"/>
      <c r="W2" s="139" t="n"/>
      <c r="X2" s="139" t="n"/>
      <c r="Y2" s="139" t="n"/>
      <c r="Z2" s="139" t="n"/>
      <c r="AA2" s="139" t="n"/>
      <c r="AB2" s="139" t="n"/>
      <c r="AC2" s="139" t="n"/>
      <c r="AD2" s="139" t="n"/>
      <c r="AE2" s="139" t="n"/>
      <c r="AF2" s="139" t="n"/>
      <c r="AG2" s="139" t="n"/>
      <c r="AH2" s="139" t="n"/>
      <c r="AI2" s="139" t="n"/>
      <c r="AJ2" s="140" t="n"/>
      <c r="AL2" s="141" t="inlineStr">
        <is>
          <t xml:space="preserve">Staff Number Of Days Standby </t>
        </is>
      </c>
      <c r="AM2" s="141" t="inlineStr">
        <is>
          <t>Staff's Morning Duty</t>
        </is>
      </c>
      <c r="AN2" s="141" t="inlineStr">
        <is>
          <t>Staff's Afternoon Duty</t>
        </is>
      </c>
      <c r="AO2" s="141" t="inlineStr">
        <is>
          <t>Staff's Night Duty</t>
        </is>
      </c>
      <c r="AP2" s="141" t="inlineStr">
        <is>
          <t>Staff's Offdays</t>
        </is>
      </c>
    </row>
    <row r="3" ht="39.75" customHeight="1" s="6" thickBot="1">
      <c r="B3" s="91" t="inlineStr">
        <is>
          <t>Employee</t>
        </is>
      </c>
      <c r="C3" s="142" t="n"/>
      <c r="D3" s="132" t="n"/>
      <c r="F3" s="52" t="inlineStr">
        <is>
          <t>SAT</t>
        </is>
      </c>
      <c r="G3" s="53" t="inlineStr">
        <is>
          <t>SUN</t>
        </is>
      </c>
      <c r="H3" s="53" t="inlineStr">
        <is>
          <t>MON</t>
        </is>
      </c>
      <c r="I3" s="54" t="inlineStr">
        <is>
          <t>TUE</t>
        </is>
      </c>
      <c r="J3" s="53" t="inlineStr">
        <is>
          <t>WED</t>
        </is>
      </c>
      <c r="K3" s="53" t="inlineStr">
        <is>
          <t>THU</t>
        </is>
      </c>
      <c r="L3" s="54" t="inlineStr">
        <is>
          <t>FRI</t>
        </is>
      </c>
      <c r="M3" s="53" t="inlineStr">
        <is>
          <t>SAT</t>
        </is>
      </c>
      <c r="N3" s="53" t="inlineStr">
        <is>
          <t>SUN</t>
        </is>
      </c>
      <c r="O3" s="54" t="inlineStr">
        <is>
          <t>MON</t>
        </is>
      </c>
      <c r="P3" s="53" t="inlineStr">
        <is>
          <t>TUE</t>
        </is>
      </c>
      <c r="Q3" s="53" t="inlineStr">
        <is>
          <t>WED</t>
        </is>
      </c>
      <c r="R3" s="54" t="inlineStr">
        <is>
          <t>THU</t>
        </is>
      </c>
      <c r="S3" s="53" t="inlineStr">
        <is>
          <t>FRI</t>
        </is>
      </c>
      <c r="T3" s="53" t="inlineStr">
        <is>
          <t>SAT</t>
        </is>
      </c>
      <c r="U3" s="54" t="inlineStr">
        <is>
          <t>SUN</t>
        </is>
      </c>
      <c r="V3" s="53" t="inlineStr">
        <is>
          <t>MON</t>
        </is>
      </c>
      <c r="W3" s="53" t="inlineStr">
        <is>
          <t>TUE</t>
        </is>
      </c>
      <c r="X3" s="54" t="inlineStr">
        <is>
          <t>WED</t>
        </is>
      </c>
      <c r="Y3" s="53" t="inlineStr">
        <is>
          <t>THU</t>
        </is>
      </c>
      <c r="Z3" s="53" t="inlineStr">
        <is>
          <t>FRI</t>
        </is>
      </c>
      <c r="AA3" s="54" t="inlineStr">
        <is>
          <t>SAT</t>
        </is>
      </c>
      <c r="AB3" s="53" t="inlineStr">
        <is>
          <t>SUN</t>
        </is>
      </c>
      <c r="AC3" s="53" t="inlineStr">
        <is>
          <t>MON</t>
        </is>
      </c>
      <c r="AD3" s="54" t="inlineStr">
        <is>
          <t>TUE</t>
        </is>
      </c>
      <c r="AE3" s="53" t="inlineStr">
        <is>
          <t>WED</t>
        </is>
      </c>
      <c r="AF3" s="53" t="inlineStr">
        <is>
          <t>THU</t>
        </is>
      </c>
      <c r="AG3" s="54" t="inlineStr">
        <is>
          <t>FRI</t>
        </is>
      </c>
      <c r="AH3" s="53" t="inlineStr">
        <is>
          <t>SAT</t>
        </is>
      </c>
      <c r="AI3" s="55" t="inlineStr">
        <is>
          <t>SUN</t>
        </is>
      </c>
      <c r="AJ3" s="47" t="n"/>
      <c r="AL3" s="11" t="n"/>
      <c r="AM3" s="11" t="n"/>
      <c r="AN3" s="11" t="n"/>
      <c r="AO3" s="11" t="n"/>
      <c r="AP3" s="11" t="n"/>
    </row>
    <row r="4" ht="19.5" customHeight="1" s="6" thickBot="1">
      <c r="B4" s="137" t="n"/>
      <c r="C4" s="143" t="n"/>
      <c r="D4" s="138" t="n"/>
      <c r="F4" s="48" t="n">
        <v>1</v>
      </c>
      <c r="G4" s="49" t="n">
        <v>2</v>
      </c>
      <c r="H4" s="49" t="n">
        <v>3</v>
      </c>
      <c r="I4" s="49" t="n">
        <v>4</v>
      </c>
      <c r="J4" s="49" t="n">
        <v>5</v>
      </c>
      <c r="K4" s="49" t="n">
        <v>6</v>
      </c>
      <c r="L4" s="49" t="n">
        <v>7</v>
      </c>
      <c r="M4" s="49" t="n">
        <v>8</v>
      </c>
      <c r="N4" s="49" t="n">
        <v>9</v>
      </c>
      <c r="O4" s="49" t="n">
        <v>10</v>
      </c>
      <c r="P4" s="49" t="n">
        <v>11</v>
      </c>
      <c r="Q4" s="49" t="n">
        <v>12</v>
      </c>
      <c r="R4" s="49" t="n">
        <v>13</v>
      </c>
      <c r="S4" s="49" t="n">
        <v>14</v>
      </c>
      <c r="T4" s="49" t="n">
        <v>15</v>
      </c>
      <c r="U4" s="49" t="n">
        <v>16</v>
      </c>
      <c r="V4" s="49" t="n">
        <v>17</v>
      </c>
      <c r="W4" s="49" t="n">
        <v>18</v>
      </c>
      <c r="X4" s="49" t="n">
        <v>19</v>
      </c>
      <c r="Y4" s="49" t="n">
        <v>20</v>
      </c>
      <c r="Z4" s="49" t="n">
        <v>21</v>
      </c>
      <c r="AA4" s="49" t="n">
        <v>22</v>
      </c>
      <c r="AB4" s="49" t="n">
        <v>23</v>
      </c>
      <c r="AC4" s="49" t="n">
        <v>24</v>
      </c>
      <c r="AD4" s="49" t="n">
        <v>25</v>
      </c>
      <c r="AE4" s="49" t="n">
        <v>26</v>
      </c>
      <c r="AF4" s="49" t="n">
        <v>27</v>
      </c>
      <c r="AG4" s="49" t="n">
        <v>28</v>
      </c>
      <c r="AH4" s="49" t="n">
        <v>29</v>
      </c>
      <c r="AI4" s="50" t="n">
        <v>30</v>
      </c>
      <c r="AJ4" s="51" t="n"/>
      <c r="AL4" s="12" t="n"/>
      <c r="AM4" s="12" t="n"/>
      <c r="AN4" s="12" t="n"/>
      <c r="AO4" s="12" t="n"/>
      <c r="AP4" s="12" t="n"/>
    </row>
    <row r="5" ht="18.75" customHeight="1" s="6">
      <c r="B5" s="37" t="n">
        <v>1</v>
      </c>
      <c r="C5" s="92" t="inlineStr">
        <is>
          <t>Mohamed Al Amri - 81404</t>
        </is>
      </c>
      <c r="D5" s="134" t="n"/>
      <c r="F5" s="57" t="inlineStr">
        <is>
          <t>A1</t>
        </is>
      </c>
      <c r="G5" s="57" t="inlineStr">
        <is>
          <t>A2</t>
        </is>
      </c>
      <c r="H5" s="57" t="inlineStr">
        <is>
          <t>N1</t>
        </is>
      </c>
      <c r="I5" s="57" t="inlineStr">
        <is>
          <t>O1</t>
        </is>
      </c>
      <c r="J5" s="57" t="inlineStr">
        <is>
          <t>O2</t>
        </is>
      </c>
      <c r="K5" s="57" t="inlineStr">
        <is>
          <t>O3</t>
        </is>
      </c>
      <c r="L5" s="57" t="inlineStr">
        <is>
          <t>M1</t>
        </is>
      </c>
      <c r="M5" s="57" t="inlineStr">
        <is>
          <t>M2</t>
        </is>
      </c>
      <c r="N5" s="57" t="inlineStr">
        <is>
          <t>A1</t>
        </is>
      </c>
      <c r="O5" s="57" t="inlineStr">
        <is>
          <t>A2</t>
        </is>
      </c>
      <c r="P5" s="57" t="inlineStr">
        <is>
          <t>N1</t>
        </is>
      </c>
      <c r="Q5" s="57" t="inlineStr">
        <is>
          <t>O1</t>
        </is>
      </c>
      <c r="R5" s="57" t="inlineStr">
        <is>
          <t>O2</t>
        </is>
      </c>
      <c r="S5" s="57" t="inlineStr">
        <is>
          <t>O3</t>
        </is>
      </c>
      <c r="T5" s="57" t="inlineStr">
        <is>
          <t>STM1</t>
        </is>
      </c>
      <c r="U5" s="57" t="inlineStr">
        <is>
          <t>M2</t>
        </is>
      </c>
      <c r="V5" s="57" t="inlineStr">
        <is>
          <t>A1</t>
        </is>
      </c>
      <c r="W5" s="57" t="inlineStr">
        <is>
          <t>A2</t>
        </is>
      </c>
      <c r="X5" s="57" t="inlineStr">
        <is>
          <t>N1</t>
        </is>
      </c>
      <c r="Y5" s="57" t="inlineStr">
        <is>
          <t>O1</t>
        </is>
      </c>
      <c r="Z5" s="57" t="inlineStr">
        <is>
          <t>O2</t>
        </is>
      </c>
      <c r="AA5" s="57" t="inlineStr">
        <is>
          <t>O3</t>
        </is>
      </c>
      <c r="AB5" s="57" t="inlineStr">
        <is>
          <t>M1</t>
        </is>
      </c>
      <c r="AC5" s="57" t="inlineStr">
        <is>
          <t>M2</t>
        </is>
      </c>
      <c r="AD5" s="57" t="inlineStr">
        <is>
          <t>A1</t>
        </is>
      </c>
      <c r="AE5" s="57" t="inlineStr">
        <is>
          <t>A2</t>
        </is>
      </c>
      <c r="AF5" s="57" t="inlineStr">
        <is>
          <t>N1</t>
        </is>
      </c>
      <c r="AG5" s="57" t="inlineStr">
        <is>
          <t>O1</t>
        </is>
      </c>
      <c r="AH5" s="57" t="inlineStr">
        <is>
          <t>O2</t>
        </is>
      </c>
      <c r="AI5" s="57" t="inlineStr">
        <is>
          <t>O3</t>
        </is>
      </c>
      <c r="AJ5" s="25" t="n"/>
      <c r="AL5" s="56">
        <f>COUNTIF($F5:$AJ5,"ST*")</f>
        <v/>
      </c>
      <c r="AM5" s="56">
        <f>COUNTIF($F5:$AJ5,"M*")</f>
        <v/>
      </c>
      <c r="AN5" s="56">
        <f>COUNTIF($F5:$AJ5,"A*")</f>
        <v/>
      </c>
      <c r="AO5" s="56">
        <f>COUNTIF($F5:$AJ5,"N*")</f>
        <v/>
      </c>
      <c r="AP5" s="56">
        <f>COUNTIF($F5:$AJ5,"O*")</f>
        <v/>
      </c>
    </row>
    <row r="6" ht="18.75" customHeight="1" s="6">
      <c r="B6" s="37" t="n">
        <v>2</v>
      </c>
      <c r="C6" s="92" t="inlineStr">
        <is>
          <t>Saleh Al Rashdi - 82546</t>
        </is>
      </c>
      <c r="D6" s="134" t="n"/>
      <c r="F6" s="57" t="inlineStr">
        <is>
          <t>O1</t>
        </is>
      </c>
      <c r="G6" s="57" t="inlineStr">
        <is>
          <t>O2</t>
        </is>
      </c>
      <c r="H6" s="57" t="inlineStr">
        <is>
          <t>O3</t>
        </is>
      </c>
      <c r="I6" s="57" t="inlineStr">
        <is>
          <t>M1</t>
        </is>
      </c>
      <c r="J6" s="57" t="inlineStr">
        <is>
          <t>M2</t>
        </is>
      </c>
      <c r="K6" s="57" t="inlineStr">
        <is>
          <t>A1</t>
        </is>
      </c>
      <c r="L6" s="57" t="inlineStr">
        <is>
          <t>A2</t>
        </is>
      </c>
      <c r="M6" s="57" t="inlineStr">
        <is>
          <t>N1</t>
        </is>
      </c>
      <c r="N6" s="57" t="inlineStr">
        <is>
          <t>O1</t>
        </is>
      </c>
      <c r="O6" s="57" t="inlineStr">
        <is>
          <t>O2</t>
        </is>
      </c>
      <c r="P6" s="57" t="inlineStr">
        <is>
          <t>O3</t>
        </is>
      </c>
      <c r="Q6" s="57" t="inlineStr">
        <is>
          <t>M1</t>
        </is>
      </c>
      <c r="R6" s="57" t="inlineStr">
        <is>
          <t>M2</t>
        </is>
      </c>
      <c r="S6" s="57" t="inlineStr">
        <is>
          <t>A1</t>
        </is>
      </c>
      <c r="T6" s="57" t="inlineStr">
        <is>
          <t>A2</t>
        </is>
      </c>
      <c r="U6" s="57" t="inlineStr">
        <is>
          <t>N1</t>
        </is>
      </c>
      <c r="V6" s="57" t="inlineStr">
        <is>
          <t>O1</t>
        </is>
      </c>
      <c r="W6" s="57" t="inlineStr">
        <is>
          <t>O2</t>
        </is>
      </c>
      <c r="X6" s="57" t="inlineStr">
        <is>
          <t>O3</t>
        </is>
      </c>
      <c r="Y6" s="57" t="inlineStr">
        <is>
          <t>M1</t>
        </is>
      </c>
      <c r="Z6" s="57" t="inlineStr">
        <is>
          <t>M2</t>
        </is>
      </c>
      <c r="AA6" s="57" t="inlineStr">
        <is>
          <t>A1</t>
        </is>
      </c>
      <c r="AB6" s="57" t="inlineStr">
        <is>
          <t>A2</t>
        </is>
      </c>
      <c r="AC6" s="57" t="inlineStr">
        <is>
          <t>N1</t>
        </is>
      </c>
      <c r="AD6" s="57" t="inlineStr">
        <is>
          <t>O1</t>
        </is>
      </c>
      <c r="AE6" s="57" t="inlineStr">
        <is>
          <t>O2</t>
        </is>
      </c>
      <c r="AF6" s="57" t="inlineStr">
        <is>
          <t>O3</t>
        </is>
      </c>
      <c r="AG6" s="57" t="inlineStr">
        <is>
          <t>M1</t>
        </is>
      </c>
      <c r="AH6" s="57" t="inlineStr">
        <is>
          <t>M2</t>
        </is>
      </c>
      <c r="AI6" s="25" t="inlineStr">
        <is>
          <t>A1</t>
        </is>
      </c>
      <c r="AJ6" s="25" t="n"/>
      <c r="AL6" s="56">
        <f>COUNTIF($F6:$AJ6,"ST*")</f>
        <v/>
      </c>
      <c r="AM6" s="56">
        <f>COUNTIF($F6:$AJ6,"M*")</f>
        <v/>
      </c>
      <c r="AN6" s="56">
        <f>COUNTIF($F6:$AJ6,"A*")</f>
        <v/>
      </c>
      <c r="AO6" s="56">
        <f>COUNTIF($F6:$AJ6,"N*")</f>
        <v/>
      </c>
      <c r="AP6" s="56">
        <f>COUNTIF($F6:$AJ6,"O*")</f>
        <v/>
      </c>
    </row>
    <row r="7" ht="18.75" customHeight="1" s="6">
      <c r="B7" s="37" t="n">
        <v>3</v>
      </c>
      <c r="C7" s="92" t="inlineStr">
        <is>
          <t>Jay Macalino - 80250</t>
        </is>
      </c>
      <c r="D7" s="134" t="n"/>
      <c r="F7" s="57" t="inlineStr">
        <is>
          <t>O2</t>
        </is>
      </c>
      <c r="G7" s="57" t="inlineStr">
        <is>
          <t>O3</t>
        </is>
      </c>
      <c r="H7" s="57" t="inlineStr">
        <is>
          <t>M1</t>
        </is>
      </c>
      <c r="I7" s="57" t="inlineStr">
        <is>
          <t>A1</t>
        </is>
      </c>
      <c r="J7" s="57" t="inlineStr">
        <is>
          <t>A2</t>
        </is>
      </c>
      <c r="K7" s="57" t="inlineStr">
        <is>
          <t>N1</t>
        </is>
      </c>
      <c r="L7" s="57" t="inlineStr">
        <is>
          <t>N2</t>
        </is>
      </c>
      <c r="M7" s="57" t="inlineStr">
        <is>
          <t>O1</t>
        </is>
      </c>
      <c r="N7" s="57" t="inlineStr">
        <is>
          <t>O2</t>
        </is>
      </c>
      <c r="O7" s="57" t="inlineStr">
        <is>
          <t>O3</t>
        </is>
      </c>
      <c r="P7" s="57" t="inlineStr">
        <is>
          <t>M1</t>
        </is>
      </c>
      <c r="Q7" s="57" t="inlineStr">
        <is>
          <t>TR</t>
        </is>
      </c>
      <c r="R7" s="57" t="inlineStr">
        <is>
          <t>TR</t>
        </is>
      </c>
      <c r="S7" s="57" t="inlineStr">
        <is>
          <t>N1</t>
        </is>
      </c>
      <c r="T7" s="57" t="inlineStr">
        <is>
          <t>N2</t>
        </is>
      </c>
      <c r="U7" s="57" t="inlineStr">
        <is>
          <t>O1</t>
        </is>
      </c>
      <c r="V7" s="57" t="inlineStr">
        <is>
          <t>O2</t>
        </is>
      </c>
      <c r="W7" s="57" t="inlineStr">
        <is>
          <t>O3</t>
        </is>
      </c>
      <c r="X7" s="57" t="inlineStr">
        <is>
          <t>M1</t>
        </is>
      </c>
      <c r="Y7" s="57" t="inlineStr">
        <is>
          <t>A1</t>
        </is>
      </c>
      <c r="Z7" s="57" t="inlineStr">
        <is>
          <t>A2</t>
        </is>
      </c>
      <c r="AA7" s="57" t="inlineStr">
        <is>
          <t>N1</t>
        </is>
      </c>
      <c r="AB7" s="57" t="inlineStr">
        <is>
          <t>N2</t>
        </is>
      </c>
      <c r="AC7" s="57" t="inlineStr">
        <is>
          <t>O1</t>
        </is>
      </c>
      <c r="AD7" s="57" t="inlineStr">
        <is>
          <t>O2</t>
        </is>
      </c>
      <c r="AE7" s="57" t="inlineStr">
        <is>
          <t>O3</t>
        </is>
      </c>
      <c r="AF7" s="57" t="inlineStr">
        <is>
          <t>M1</t>
        </is>
      </c>
      <c r="AG7" s="57" t="inlineStr">
        <is>
          <t>A1</t>
        </is>
      </c>
      <c r="AH7" s="57" t="inlineStr">
        <is>
          <t>A2</t>
        </is>
      </c>
      <c r="AI7" s="25" t="inlineStr">
        <is>
          <t>TR</t>
        </is>
      </c>
      <c r="AJ7" s="24" t="n"/>
      <c r="AL7" s="56">
        <f>COUNTIF($F7:$AJ7,"ST*")</f>
        <v/>
      </c>
      <c r="AM7" s="56">
        <f>COUNTIF($F7:$AJ7,"M*")</f>
        <v/>
      </c>
      <c r="AN7" s="56">
        <f>COUNTIF($F7:$AJ7,"A*")</f>
        <v/>
      </c>
      <c r="AO7" s="56">
        <f>COUNTIF($F7:$AJ7,"N*")</f>
        <v/>
      </c>
      <c r="AP7" s="56">
        <f>COUNTIF($F7:$AJ7,"O*")</f>
        <v/>
      </c>
    </row>
    <row r="8" ht="18.75" customHeight="1" s="6">
      <c r="B8" s="37" t="n">
        <v>4</v>
      </c>
      <c r="C8" s="92" t="inlineStr">
        <is>
          <t>Mohamed Al Kalbani - 82593</t>
        </is>
      </c>
      <c r="D8" s="134" t="n"/>
      <c r="F8" s="57" t="inlineStr">
        <is>
          <t>N1</t>
        </is>
      </c>
      <c r="G8" s="57" t="inlineStr">
        <is>
          <t>N2</t>
        </is>
      </c>
      <c r="H8" s="57" t="inlineStr">
        <is>
          <t>O1</t>
        </is>
      </c>
      <c r="I8" s="57" t="inlineStr">
        <is>
          <t>O2</t>
        </is>
      </c>
      <c r="J8" s="57" t="inlineStr">
        <is>
          <t>O3</t>
        </is>
      </c>
      <c r="K8" s="57" t="inlineStr">
        <is>
          <t>M1</t>
        </is>
      </c>
      <c r="L8" s="57" t="inlineStr">
        <is>
          <t>STM2</t>
        </is>
      </c>
      <c r="M8" s="57" t="inlineStr">
        <is>
          <t>A1</t>
        </is>
      </c>
      <c r="N8" s="57" t="inlineStr">
        <is>
          <t>N1</t>
        </is>
      </c>
      <c r="O8" s="57" t="inlineStr">
        <is>
          <t>N2</t>
        </is>
      </c>
      <c r="P8" s="57" t="inlineStr">
        <is>
          <t>O1</t>
        </is>
      </c>
      <c r="Q8" s="57" t="inlineStr">
        <is>
          <t>O2</t>
        </is>
      </c>
      <c r="R8" s="57" t="inlineStr">
        <is>
          <t>O3</t>
        </is>
      </c>
      <c r="S8" s="57" t="inlineStr">
        <is>
          <t>M1</t>
        </is>
      </c>
      <c r="T8" s="57" t="inlineStr">
        <is>
          <t>M2</t>
        </is>
      </c>
      <c r="U8" s="57" t="inlineStr">
        <is>
          <t>A1</t>
        </is>
      </c>
      <c r="V8" s="57" t="inlineStr">
        <is>
          <t>N1</t>
        </is>
      </c>
      <c r="W8" s="57" t="inlineStr">
        <is>
          <t>N2</t>
        </is>
      </c>
      <c r="X8" s="57" t="inlineStr">
        <is>
          <t>O1</t>
        </is>
      </c>
      <c r="Y8" s="57" t="inlineStr">
        <is>
          <t>O2</t>
        </is>
      </c>
      <c r="Z8" s="57" t="inlineStr">
        <is>
          <t>O3</t>
        </is>
      </c>
      <c r="AA8" s="57" t="inlineStr">
        <is>
          <t>M1</t>
        </is>
      </c>
      <c r="AB8" s="57" t="inlineStr">
        <is>
          <t>STM2</t>
        </is>
      </c>
      <c r="AC8" s="57" t="inlineStr">
        <is>
          <t>A1</t>
        </is>
      </c>
      <c r="AD8" s="57" t="inlineStr">
        <is>
          <t>N1</t>
        </is>
      </c>
      <c r="AE8" s="57" t="inlineStr">
        <is>
          <t>N2</t>
        </is>
      </c>
      <c r="AF8" s="57" t="inlineStr">
        <is>
          <t>O1</t>
        </is>
      </c>
      <c r="AG8" s="57" t="inlineStr">
        <is>
          <t>O2</t>
        </is>
      </c>
      <c r="AH8" s="57" t="inlineStr">
        <is>
          <t>O3</t>
        </is>
      </c>
      <c r="AI8" s="25" t="inlineStr">
        <is>
          <t>M1</t>
        </is>
      </c>
      <c r="AJ8" s="25" t="n"/>
      <c r="AL8" s="56">
        <f>COUNTIF($F8:$AJ8,"ST*")</f>
        <v/>
      </c>
      <c r="AM8" s="56">
        <f>COUNTIF($F8:$AJ8,"M*")</f>
        <v/>
      </c>
      <c r="AN8" s="56">
        <f>COUNTIF($F8:$AJ8,"A*")</f>
        <v/>
      </c>
      <c r="AO8" s="56">
        <f>COUNTIF($F8:$AJ8,"N*")</f>
        <v/>
      </c>
      <c r="AP8" s="56">
        <f>COUNTIF($F8:$AJ8,"O*")</f>
        <v/>
      </c>
    </row>
    <row r="9" ht="18.75" customHeight="1" s="6">
      <c r="B9" s="37" t="n">
        <v>5</v>
      </c>
      <c r="C9" s="92" t="inlineStr">
        <is>
          <t>Talal Al Balushi - 81300</t>
        </is>
      </c>
      <c r="D9" s="134" t="n"/>
      <c r="F9" s="57" t="inlineStr">
        <is>
          <t>M1</t>
        </is>
      </c>
      <c r="G9" s="57" t="inlineStr">
        <is>
          <t>M2</t>
        </is>
      </c>
      <c r="H9" s="57" t="inlineStr">
        <is>
          <t>A1</t>
        </is>
      </c>
      <c r="I9" s="57" t="inlineStr">
        <is>
          <t>N1</t>
        </is>
      </c>
      <c r="J9" s="57" t="inlineStr">
        <is>
          <t>N2</t>
        </is>
      </c>
      <c r="K9" s="57" t="inlineStr">
        <is>
          <t>O1</t>
        </is>
      </c>
      <c r="L9" s="57" t="inlineStr">
        <is>
          <t>O2</t>
        </is>
      </c>
      <c r="M9" s="57" t="inlineStr">
        <is>
          <t>O3</t>
        </is>
      </c>
      <c r="N9" s="57" t="inlineStr">
        <is>
          <t>M1</t>
        </is>
      </c>
      <c r="O9" s="57" t="inlineStr">
        <is>
          <t>M2</t>
        </is>
      </c>
      <c r="P9" s="57" t="inlineStr">
        <is>
          <t>A1</t>
        </is>
      </c>
      <c r="Q9" s="57" t="inlineStr">
        <is>
          <t>N1</t>
        </is>
      </c>
      <c r="R9" s="57" t="inlineStr">
        <is>
          <t>N2</t>
        </is>
      </c>
      <c r="S9" s="57" t="inlineStr">
        <is>
          <t>O1</t>
        </is>
      </c>
      <c r="T9" s="57" t="inlineStr">
        <is>
          <t>O2</t>
        </is>
      </c>
      <c r="U9" s="57" t="inlineStr">
        <is>
          <t>O3</t>
        </is>
      </c>
      <c r="V9" s="57" t="inlineStr">
        <is>
          <t>M1</t>
        </is>
      </c>
      <c r="W9" s="57" t="inlineStr">
        <is>
          <t>M2</t>
        </is>
      </c>
      <c r="X9" s="57" t="inlineStr">
        <is>
          <t>A1</t>
        </is>
      </c>
      <c r="Y9" s="57" t="inlineStr">
        <is>
          <t>N1</t>
        </is>
      </c>
      <c r="Z9" s="57" t="inlineStr">
        <is>
          <t>N2</t>
        </is>
      </c>
      <c r="AA9" s="57" t="inlineStr">
        <is>
          <t>O1</t>
        </is>
      </c>
      <c r="AB9" s="57" t="inlineStr">
        <is>
          <t>O2</t>
        </is>
      </c>
      <c r="AC9" s="57" t="inlineStr">
        <is>
          <t>O3</t>
        </is>
      </c>
      <c r="AD9" s="57" t="inlineStr">
        <is>
          <t>M1</t>
        </is>
      </c>
      <c r="AE9" s="57" t="inlineStr">
        <is>
          <t>M2</t>
        </is>
      </c>
      <c r="AF9" s="57" t="inlineStr">
        <is>
          <t>A1</t>
        </is>
      </c>
      <c r="AG9" s="57" t="inlineStr">
        <is>
          <t>N1</t>
        </is>
      </c>
      <c r="AH9" s="57" t="inlineStr">
        <is>
          <t>N2</t>
        </is>
      </c>
      <c r="AI9" s="57" t="inlineStr">
        <is>
          <t>O1</t>
        </is>
      </c>
      <c r="AJ9" s="57" t="n"/>
      <c r="AK9" s="57" t="n"/>
      <c r="AL9" s="56">
        <f>COUNTIF($F9:$AJ9,"ST*")</f>
        <v/>
      </c>
      <c r="AM9" s="56">
        <f>COUNTIF($F9:$AJ9,"M*")</f>
        <v/>
      </c>
      <c r="AN9" s="56">
        <f>COUNTIF($F9:$AJ9,"A*")</f>
        <v/>
      </c>
      <c r="AO9" s="56">
        <f>COUNTIF($F9:$AJ9,"N*")</f>
        <v/>
      </c>
      <c r="AP9" s="56">
        <f>COUNTIF($F9:$AJ9,"O*")</f>
        <v/>
      </c>
    </row>
    <row r="10" ht="18.75" customHeight="1" s="6">
      <c r="B10" s="37" t="n">
        <v>6</v>
      </c>
      <c r="C10" s="92" t="inlineStr">
        <is>
          <t>Said Al Amri - 990737</t>
        </is>
      </c>
      <c r="D10" s="134" t="n"/>
      <c r="F10" s="57" t="inlineStr">
        <is>
          <t>O1</t>
        </is>
      </c>
      <c r="G10" s="57" t="inlineStr">
        <is>
          <t>M1</t>
        </is>
      </c>
      <c r="H10" s="57" t="inlineStr">
        <is>
          <t>M2</t>
        </is>
      </c>
      <c r="I10" s="57" t="inlineStr">
        <is>
          <t>A1</t>
        </is>
      </c>
      <c r="J10" s="57" t="inlineStr">
        <is>
          <t>A2</t>
        </is>
      </c>
      <c r="K10" s="57" t="inlineStr">
        <is>
          <t>M3</t>
        </is>
      </c>
      <c r="L10" s="57" t="inlineStr">
        <is>
          <t>O1</t>
        </is>
      </c>
      <c r="M10" s="57" t="inlineStr">
        <is>
          <t>O2</t>
        </is>
      </c>
      <c r="N10" s="57" t="inlineStr">
        <is>
          <t>M1</t>
        </is>
      </c>
      <c r="O10" s="57" t="inlineStr">
        <is>
          <t>M2</t>
        </is>
      </c>
      <c r="P10" s="57" t="inlineStr">
        <is>
          <t>A1</t>
        </is>
      </c>
      <c r="Q10" s="57" t="inlineStr">
        <is>
          <t>A2</t>
        </is>
      </c>
      <c r="R10" s="57" t="inlineStr">
        <is>
          <t>M3</t>
        </is>
      </c>
      <c r="S10" s="57" t="inlineStr">
        <is>
          <t>O1</t>
        </is>
      </c>
      <c r="T10" s="57" t="inlineStr">
        <is>
          <t>O2</t>
        </is>
      </c>
      <c r="U10" s="57" t="inlineStr">
        <is>
          <t>M1</t>
        </is>
      </c>
      <c r="V10" s="57" t="inlineStr">
        <is>
          <t>M2</t>
        </is>
      </c>
      <c r="W10" s="57" t="inlineStr">
        <is>
          <t>A1</t>
        </is>
      </c>
      <c r="X10" s="57" t="inlineStr">
        <is>
          <t>A2</t>
        </is>
      </c>
      <c r="Y10" s="57" t="inlineStr">
        <is>
          <t>M3</t>
        </is>
      </c>
      <c r="Z10" s="57" t="inlineStr">
        <is>
          <t>O1</t>
        </is>
      </c>
      <c r="AA10" s="57" t="inlineStr">
        <is>
          <t>O2</t>
        </is>
      </c>
      <c r="AB10" s="57" t="inlineStr">
        <is>
          <t>M1</t>
        </is>
      </c>
      <c r="AC10" s="57" t="inlineStr">
        <is>
          <t>M2</t>
        </is>
      </c>
      <c r="AD10" s="57" t="inlineStr">
        <is>
          <t>A1</t>
        </is>
      </c>
      <c r="AE10" s="57" t="inlineStr">
        <is>
          <t>A2</t>
        </is>
      </c>
      <c r="AF10" s="57" t="inlineStr">
        <is>
          <t>M3</t>
        </is>
      </c>
      <c r="AG10" s="57" t="inlineStr">
        <is>
          <t>O1</t>
        </is>
      </c>
      <c r="AH10" s="57" t="inlineStr">
        <is>
          <t>O2</t>
        </is>
      </c>
      <c r="AI10" s="57" t="inlineStr">
        <is>
          <t>M1</t>
        </is>
      </c>
      <c r="AJ10" s="24" t="n"/>
      <c r="AL10" s="56">
        <f>COUNTIF($F10:$AJ10,"ST*")</f>
        <v/>
      </c>
      <c r="AM10" s="56">
        <f>COUNTIF($F10:$AJ10,"M*")</f>
        <v/>
      </c>
      <c r="AN10" s="56">
        <f>COUNTIF($F10:$AJ10,"A*")</f>
        <v/>
      </c>
      <c r="AO10" s="56">
        <f>COUNTIF($F10:$AJ10,"N*")</f>
        <v/>
      </c>
      <c r="AP10" s="56">
        <f>COUNTIF($F10:$AJ10,"O*")</f>
        <v/>
      </c>
    </row>
    <row r="11">
      <c r="F11" s="20" t="inlineStr">
        <is>
          <t xml:space="preserve"> </t>
        </is>
      </c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  <c r="AE11" s="20" t="n"/>
      <c r="AF11" s="20" t="n"/>
      <c r="AG11" s="20" t="n"/>
      <c r="AH11" s="20" t="n"/>
      <c r="AI11" s="20" t="n"/>
    </row>
    <row r="12" ht="18.75" customHeight="1" s="6">
      <c r="C12" s="90" t="inlineStr">
        <is>
          <t xml:space="preserve">Morning Shift </t>
        </is>
      </c>
      <c r="D12" s="134" t="n"/>
      <c r="E12" s="36" t="n"/>
      <c r="F12" s="37">
        <f>COUNTIF(F$5:F$9,"M*")</f>
        <v/>
      </c>
      <c r="G12" s="37">
        <f>COUNTIF(G$5:G$9,"M*")</f>
        <v/>
      </c>
      <c r="H12" s="37">
        <f>COUNTIF(H$5:H$9,"M*")</f>
        <v/>
      </c>
      <c r="I12" s="37">
        <f>COUNTIF(I$5:I$9,"M*")</f>
        <v/>
      </c>
      <c r="J12" s="37">
        <f>COUNTIF(J$5:J$9,"M*")</f>
        <v/>
      </c>
      <c r="K12" s="37">
        <f>COUNTIF(K$5:K$9,"M*")</f>
        <v/>
      </c>
      <c r="L12" s="37">
        <f>COUNTIF(L$5:L$9,"M*")</f>
        <v/>
      </c>
      <c r="M12" s="37">
        <f>COUNTIF(M$5:M$9,"M*")</f>
        <v/>
      </c>
      <c r="N12" s="37">
        <f>COUNTIF(N$5:N$9,"M*")</f>
        <v/>
      </c>
      <c r="O12" s="37">
        <f>COUNTIF(O$5:O$9,"M*")</f>
        <v/>
      </c>
      <c r="P12" s="37">
        <f>COUNTIF(P$5:P$9,"M*")</f>
        <v/>
      </c>
      <c r="Q12" s="37">
        <f>COUNTIF(Q$5:Q$9,"M*")</f>
        <v/>
      </c>
      <c r="R12" s="37">
        <f>COUNTIF(R$5:R$9,"M*")</f>
        <v/>
      </c>
      <c r="S12" s="37">
        <f>COUNTIF(S$5:S$9,"M*")</f>
        <v/>
      </c>
      <c r="T12" s="37">
        <f>COUNTIF(T$5:T$9,"M*")</f>
        <v/>
      </c>
      <c r="U12" s="37">
        <f>COUNTIF(U$5:U$9,"M*")</f>
        <v/>
      </c>
      <c r="V12" s="37">
        <f>COUNTIF(V$5:V$9,"M*")</f>
        <v/>
      </c>
      <c r="W12" s="37">
        <f>COUNTIF(W$5:W$9,"M*")</f>
        <v/>
      </c>
      <c r="X12" s="37">
        <f>COUNTIF(X$5:X$9,"M*")</f>
        <v/>
      </c>
      <c r="Y12" s="37">
        <f>COUNTIF(Y$5:Y$9,"M*")</f>
        <v/>
      </c>
      <c r="Z12" s="37">
        <f>COUNTIF(Z$5:Z$9,"M*")</f>
        <v/>
      </c>
      <c r="AA12" s="37">
        <f>COUNTIF(AA$5:AA$9,"M*")</f>
        <v/>
      </c>
      <c r="AB12" s="37">
        <f>COUNTIF(AB$5:AB$9,"M*")</f>
        <v/>
      </c>
      <c r="AC12" s="37">
        <f>COUNTIF(AC$5:AC$9,"M*")</f>
        <v/>
      </c>
      <c r="AD12" s="37">
        <f>COUNTIF(AD$5:AD$9,"M*")</f>
        <v/>
      </c>
      <c r="AE12" s="37">
        <f>COUNTIF(AE$5:AE$9,"M*")</f>
        <v/>
      </c>
      <c r="AF12" s="37">
        <f>COUNTIF(AF$5:AF$9,"M*")</f>
        <v/>
      </c>
      <c r="AG12" s="37">
        <f>COUNTIF(AG$5:AG$9,"M*")</f>
        <v/>
      </c>
      <c r="AH12" s="37">
        <f>COUNTIF(AH$5:AH$9,"M*")</f>
        <v/>
      </c>
      <c r="AI12" s="37">
        <f>COUNTIF(AI$5:AI$9,"M*")</f>
        <v/>
      </c>
      <c r="AJ12" s="37">
        <f>COUNTIF(AJ$5:AJ$9,"M*")</f>
        <v/>
      </c>
    </row>
    <row r="13" ht="18.75" customHeight="1" s="6">
      <c r="C13" s="90" t="inlineStr">
        <is>
          <t xml:space="preserve">Afternoon Shift </t>
        </is>
      </c>
      <c r="D13" s="134" t="n"/>
      <c r="E13" s="36" t="n"/>
      <c r="F13" s="37">
        <f>COUNTIF(F$5:F$9,"A*")</f>
        <v/>
      </c>
      <c r="G13" s="37">
        <f>COUNTIF(G$5:G$9,"A*")</f>
        <v/>
      </c>
      <c r="H13" s="37">
        <f>COUNTIF(H$5:H$9,"A*")</f>
        <v/>
      </c>
      <c r="I13" s="37">
        <f>COUNTIF(I$5:I$9,"A*")</f>
        <v/>
      </c>
      <c r="J13" s="37">
        <f>COUNTIF(J$5:J$9,"A*")</f>
        <v/>
      </c>
      <c r="K13" s="37">
        <f>COUNTIF(K$5:K$9,"A*")</f>
        <v/>
      </c>
      <c r="L13" s="37">
        <f>COUNTIF(L$5:L$9,"A*")</f>
        <v/>
      </c>
      <c r="M13" s="37">
        <f>COUNTIF(M$5:M$9,"A*")</f>
        <v/>
      </c>
      <c r="N13" s="37">
        <f>COUNTIF(N$5:N$9,"A*")</f>
        <v/>
      </c>
      <c r="O13" s="37">
        <f>COUNTIF(O$5:O$9,"A*")</f>
        <v/>
      </c>
      <c r="P13" s="37">
        <f>COUNTIF(P$5:P$9,"A*")</f>
        <v/>
      </c>
      <c r="Q13" s="37">
        <f>COUNTIF(Q$5:Q$9,"A*")</f>
        <v/>
      </c>
      <c r="R13" s="37">
        <f>COUNTIF(R$5:R$9,"A*")</f>
        <v/>
      </c>
      <c r="S13" s="37">
        <f>COUNTIF(S$5:S$9,"A*")</f>
        <v/>
      </c>
      <c r="T13" s="37">
        <f>COUNTIF(T$5:T$9,"A*")</f>
        <v/>
      </c>
      <c r="U13" s="37">
        <f>COUNTIF(U$5:U$9,"A*")</f>
        <v/>
      </c>
      <c r="V13" s="37">
        <f>COUNTIF(V$5:V$9,"A*")</f>
        <v/>
      </c>
      <c r="W13" s="37">
        <f>COUNTIF(W$5:W$9,"A*")</f>
        <v/>
      </c>
      <c r="X13" s="37">
        <f>COUNTIF(X$5:X$9,"A*")</f>
        <v/>
      </c>
      <c r="Y13" s="37">
        <f>COUNTIF(Y$5:Y$9,"A*")</f>
        <v/>
      </c>
      <c r="Z13" s="37">
        <f>COUNTIF(Z$5:Z$9,"A*")</f>
        <v/>
      </c>
      <c r="AA13" s="37">
        <f>COUNTIF(AA$5:AA$9,"A*")</f>
        <v/>
      </c>
      <c r="AB13" s="37">
        <f>COUNTIF(AB$5:AB$9,"A*")</f>
        <v/>
      </c>
      <c r="AC13" s="37">
        <f>COUNTIF(AC$5:AC$9,"A*")</f>
        <v/>
      </c>
      <c r="AD13" s="37">
        <f>COUNTIF(AD$5:AD$9,"A*")</f>
        <v/>
      </c>
      <c r="AE13" s="37">
        <f>COUNTIF(AE$5:AE$9,"A*")</f>
        <v/>
      </c>
      <c r="AF13" s="37">
        <f>COUNTIF(AF$5:AF$9,"A*")</f>
        <v/>
      </c>
      <c r="AG13" s="37">
        <f>COUNTIF(AG$5:AG$9,"A*")</f>
        <v/>
      </c>
      <c r="AH13" s="37">
        <f>COUNTIF(AH$5:AH$9,"A*")</f>
        <v/>
      </c>
      <c r="AI13" s="37">
        <f>COUNTIF(AI$5:AI$9,"A*")</f>
        <v/>
      </c>
      <c r="AJ13" s="37">
        <f>COUNTIF(AJ$5:AJ$9,"A*")</f>
        <v/>
      </c>
    </row>
    <row r="14" ht="18.75" customHeight="1" s="6">
      <c r="C14" s="90" t="inlineStr">
        <is>
          <t xml:space="preserve">Night Shift </t>
        </is>
      </c>
      <c r="D14" s="134" t="n"/>
      <c r="E14" s="36" t="n"/>
      <c r="F14" s="37">
        <f>COUNTIF(F$5:F$9,"N*")</f>
        <v/>
      </c>
      <c r="G14" s="37">
        <f>COUNTIF(G$5:G$9,"N*")</f>
        <v/>
      </c>
      <c r="H14" s="37">
        <f>COUNTIF(H$5:H$9,"N*")</f>
        <v/>
      </c>
      <c r="I14" s="37">
        <f>COUNTIF(I$5:I$9,"N*")</f>
        <v/>
      </c>
      <c r="J14" s="37">
        <f>COUNTIF(J$5:J$9,"N*")</f>
        <v/>
      </c>
      <c r="K14" s="37">
        <f>COUNTIF(K$5:K$9,"N*")</f>
        <v/>
      </c>
      <c r="L14" s="37">
        <f>COUNTIF(L$5:L$9,"N*")</f>
        <v/>
      </c>
      <c r="M14" s="37">
        <f>COUNTIF(M$5:M$9,"N*")</f>
        <v/>
      </c>
      <c r="N14" s="37">
        <f>COUNTIF(N$5:N$9,"N*")</f>
        <v/>
      </c>
      <c r="O14" s="37">
        <f>COUNTIF(O$5:O$9,"N*")</f>
        <v/>
      </c>
      <c r="P14" s="37">
        <f>COUNTIF(P$5:P$9,"N*")</f>
        <v/>
      </c>
      <c r="Q14" s="37">
        <f>COUNTIF(Q$5:Q$9,"N*")</f>
        <v/>
      </c>
      <c r="R14" s="37">
        <f>COUNTIF(R$5:R$9,"N*")</f>
        <v/>
      </c>
      <c r="S14" s="37">
        <f>COUNTIF(S$5:S$9,"N*")</f>
        <v/>
      </c>
      <c r="T14" s="37">
        <f>COUNTIF(T$5:T$9,"N*")</f>
        <v/>
      </c>
      <c r="U14" s="37">
        <f>COUNTIF(U$5:U$9,"N*")</f>
        <v/>
      </c>
      <c r="V14" s="37">
        <f>COUNTIF(V$5:V$9,"N*")</f>
        <v/>
      </c>
      <c r="W14" s="37">
        <f>COUNTIF(W$5:W$9,"N*")</f>
        <v/>
      </c>
      <c r="X14" s="37">
        <f>COUNTIF(X$5:X$9,"N*")</f>
        <v/>
      </c>
      <c r="Y14" s="37">
        <f>COUNTIF(Y$5:Y$9,"N*")</f>
        <v/>
      </c>
      <c r="Z14" s="37">
        <f>COUNTIF(Z$5:Z$9,"N*")</f>
        <v/>
      </c>
      <c r="AA14" s="37">
        <f>COUNTIF(AA$5:AA$9,"N*")</f>
        <v/>
      </c>
      <c r="AB14" s="37">
        <f>COUNTIF(AB$5:AB$9,"N*")</f>
        <v/>
      </c>
      <c r="AC14" s="37">
        <f>COUNTIF(AC$5:AC$9,"N*")</f>
        <v/>
      </c>
      <c r="AD14" s="37">
        <f>COUNTIF(AD$5:AD$9,"N*")</f>
        <v/>
      </c>
      <c r="AE14" s="37">
        <f>COUNTIF(AE$5:AE$9,"N*")</f>
        <v/>
      </c>
      <c r="AF14" s="37">
        <f>COUNTIF(AF$5:AF$9,"N*")</f>
        <v/>
      </c>
      <c r="AG14" s="37">
        <f>COUNTIF(AG$5:AG$9,"N*")</f>
        <v/>
      </c>
      <c r="AH14" s="37">
        <f>COUNTIF(AH$5:AH$9,"N*")</f>
        <v/>
      </c>
      <c r="AI14" s="37">
        <f>COUNTIF(AI$5:AI$9,"N*")</f>
        <v/>
      </c>
      <c r="AJ14" s="37">
        <f>COUNTIF(AJ$5:AJ$9,"N*")</f>
        <v/>
      </c>
    </row>
    <row r="15" ht="18.75" customHeight="1" s="6">
      <c r="C15" s="90" t="inlineStr">
        <is>
          <t>Offday</t>
        </is>
      </c>
      <c r="D15" s="134" t="n"/>
      <c r="E15" s="36" t="n"/>
      <c r="F15" s="37">
        <f>COUNTIF(F$5:F$10,"O*")</f>
        <v/>
      </c>
      <c r="G15" s="37">
        <f>COUNTIF(G$5:G$10,"O*")</f>
        <v/>
      </c>
      <c r="H15" s="37">
        <f>COUNTIF(H$5:H$10,"O*")</f>
        <v/>
      </c>
      <c r="I15" s="37">
        <f>COUNTIF(I$5:I$10,"O*")</f>
        <v/>
      </c>
      <c r="J15" s="37">
        <f>COUNTIF(J$5:J$10,"O*")</f>
        <v/>
      </c>
      <c r="K15" s="37">
        <f>COUNTIF(K$5:K$10,"O*")</f>
        <v/>
      </c>
      <c r="L15" s="37">
        <f>COUNTIF(L$5:L$10,"O*")</f>
        <v/>
      </c>
      <c r="M15" s="37">
        <f>COUNTIF(M$5:M$10,"O*")</f>
        <v/>
      </c>
      <c r="N15" s="37">
        <f>COUNTIF(N$5:N$10,"O*")</f>
        <v/>
      </c>
      <c r="O15" s="37">
        <f>COUNTIF(O$5:O$10,"O*")</f>
        <v/>
      </c>
      <c r="P15" s="37">
        <f>COUNTIF(P$5:P$10,"O*")</f>
        <v/>
      </c>
      <c r="Q15" s="37">
        <f>COUNTIF(Q$5:Q$10,"O*")</f>
        <v/>
      </c>
      <c r="R15" s="37">
        <f>COUNTIF(R$5:R$10,"O*")</f>
        <v/>
      </c>
      <c r="S15" s="37">
        <f>COUNTIF(S$5:S$10,"O*")</f>
        <v/>
      </c>
      <c r="T15" s="37">
        <f>COUNTIF(T$5:T$10,"O*")</f>
        <v/>
      </c>
      <c r="U15" s="37">
        <f>COUNTIF(U$5:U$10,"O*")</f>
        <v/>
      </c>
      <c r="V15" s="37">
        <f>COUNTIF(V$5:V$10,"O*")</f>
        <v/>
      </c>
      <c r="W15" s="37">
        <f>COUNTIF(W$5:W$10,"O*")</f>
        <v/>
      </c>
      <c r="X15" s="37">
        <f>COUNTIF(X$5:X$10,"O*")</f>
        <v/>
      </c>
      <c r="Y15" s="37">
        <f>COUNTIF(Y$5:Y$10,"O*")</f>
        <v/>
      </c>
      <c r="Z15" s="37">
        <f>COUNTIF(Z$5:Z$10,"O*")</f>
        <v/>
      </c>
      <c r="AA15" s="37">
        <f>COUNTIF(AA$5:AA$10,"O*")</f>
        <v/>
      </c>
      <c r="AB15" s="37">
        <f>COUNTIF(AB$5:AB$10,"O*")</f>
        <v/>
      </c>
      <c r="AC15" s="37">
        <f>COUNTIF(AC$5:AC$10,"O*")</f>
        <v/>
      </c>
      <c r="AD15" s="37">
        <f>COUNTIF(AD$5:AD$10,"O*")</f>
        <v/>
      </c>
      <c r="AE15" s="37">
        <f>COUNTIF(AE$5:AE$10,"O*")</f>
        <v/>
      </c>
      <c r="AF15" s="37">
        <f>COUNTIF(AF$5:AF$10,"O*")</f>
        <v/>
      </c>
      <c r="AG15" s="37">
        <f>COUNTIF(AG$5:AG$10,"O*")</f>
        <v/>
      </c>
      <c r="AH15" s="37">
        <f>COUNTIF(AH$5:AH$10,"O*")</f>
        <v/>
      </c>
      <c r="AI15" s="37">
        <f>COUNTIF(AI$5:AI$10,"O*")</f>
        <v/>
      </c>
      <c r="AJ15" s="37">
        <f>COUNTIF(AJ$5:AJ$10,"O*")</f>
        <v/>
      </c>
    </row>
    <row r="16" ht="18.75" customHeight="1" s="6">
      <c r="C16" s="90" t="inlineStr">
        <is>
          <t>Training</t>
        </is>
      </c>
      <c r="D16" s="134" t="n"/>
      <c r="E16" s="36" t="n"/>
      <c r="F16" s="37">
        <f>COUNTIF(F$5:F$10,"TR*")</f>
        <v/>
      </c>
      <c r="G16" s="37">
        <f>COUNTIF(G$5:G$10,"TR*")</f>
        <v/>
      </c>
      <c r="H16" s="37">
        <f>COUNTIF(H$5:H$10,"TR*")</f>
        <v/>
      </c>
      <c r="I16" s="37">
        <f>COUNTIF(I$5:I$10,"TR*")</f>
        <v/>
      </c>
      <c r="J16" s="37">
        <f>COUNTIF(J$5:J$10,"TR*")</f>
        <v/>
      </c>
      <c r="K16" s="37">
        <f>COUNTIF(K$5:K$10,"TR*")</f>
        <v/>
      </c>
      <c r="L16" s="37">
        <f>COUNTIF(L$5:L$10,"TR*")</f>
        <v/>
      </c>
      <c r="M16" s="37">
        <f>COUNTIF(M$5:M$10,"TR*")</f>
        <v/>
      </c>
      <c r="N16" s="37">
        <f>COUNTIF(N$5:N$10,"TR*")</f>
        <v/>
      </c>
      <c r="O16" s="37">
        <f>COUNTIF(O$5:O$10,"TR*")</f>
        <v/>
      </c>
      <c r="P16" s="37">
        <f>COUNTIF(P$5:P$10,"TR*")</f>
        <v/>
      </c>
      <c r="Q16" s="37">
        <f>COUNTIF(Q$5:Q$10,"TR*")</f>
        <v/>
      </c>
      <c r="R16" s="37">
        <f>COUNTIF(R$5:R$10,"TR*")</f>
        <v/>
      </c>
      <c r="S16" s="37">
        <f>COUNTIF(S$5:S$10,"TR*")</f>
        <v/>
      </c>
      <c r="T16" s="37">
        <f>COUNTIF(T$5:T$10,"TR*")</f>
        <v/>
      </c>
      <c r="U16" s="37">
        <f>COUNTIF(U$5:U$10,"TR*")</f>
        <v/>
      </c>
      <c r="V16" s="37">
        <f>COUNTIF(V$5:V$10,"TR*")</f>
        <v/>
      </c>
      <c r="W16" s="37">
        <f>COUNTIF(W$5:W$10,"TR*")</f>
        <v/>
      </c>
      <c r="X16" s="37">
        <f>COUNTIF(X$5:X$10,"TR*")</f>
        <v/>
      </c>
      <c r="Y16" s="37">
        <f>COUNTIF(Y$5:Y$10,"TR*")</f>
        <v/>
      </c>
      <c r="Z16" s="37">
        <f>COUNTIF(Z$5:Z$10,"TR*")</f>
        <v/>
      </c>
      <c r="AA16" s="37">
        <f>COUNTIF(AA$5:AA$10,"TR*")</f>
        <v/>
      </c>
      <c r="AB16" s="37">
        <f>COUNTIF(AB$5:AB$10,"TR*")</f>
        <v/>
      </c>
      <c r="AC16" s="37">
        <f>COUNTIF(AC$5:AC$10,"TR*")</f>
        <v/>
      </c>
      <c r="AD16" s="37">
        <f>COUNTIF(AD$5:AD$10,"TR*")</f>
        <v/>
      </c>
      <c r="AE16" s="37">
        <f>COUNTIF(AE$5:AE$10,"TR*")</f>
        <v/>
      </c>
      <c r="AF16" s="37">
        <f>COUNTIF(AF$5:AF$10,"TR*")</f>
        <v/>
      </c>
      <c r="AG16" s="37">
        <f>COUNTIF(AG$5:AG$10,"TR*")</f>
        <v/>
      </c>
      <c r="AH16" s="37">
        <f>COUNTIF(AH$5:AH$10,"TR*")</f>
        <v/>
      </c>
      <c r="AI16" s="37">
        <f>COUNTIF(AI$5:AI$10,"TR*")</f>
        <v/>
      </c>
      <c r="AJ16" s="37">
        <f>COUNTIF(AJ$5:AJ$10,"TR*")</f>
        <v/>
      </c>
    </row>
    <row r="17" ht="18.75" customHeight="1" s="6">
      <c r="C17" s="90" t="inlineStr">
        <is>
          <t>Standby Staffs</t>
        </is>
      </c>
      <c r="D17" s="134" t="n"/>
      <c r="E17" s="36" t="n"/>
      <c r="F17" s="37">
        <f>COUNTIF(F$5:F$10,"ST*")</f>
        <v/>
      </c>
      <c r="G17" s="37">
        <f>COUNTIF(G$5:G$10,"ST*")</f>
        <v/>
      </c>
      <c r="H17" s="37">
        <f>COUNTIF(H$5:H$10,"ST*")</f>
        <v/>
      </c>
      <c r="I17" s="37">
        <f>COUNTIF(I$5:I$10,"ST*")</f>
        <v/>
      </c>
      <c r="J17" s="37">
        <f>COUNTIF(J$5:J$10,"ST*")</f>
        <v/>
      </c>
      <c r="K17" s="37">
        <f>COUNTIF(K$5:K$10,"ST*")</f>
        <v/>
      </c>
      <c r="L17" s="37">
        <f>COUNTIF(L$5:L$10,"ST*")</f>
        <v/>
      </c>
      <c r="M17" s="37">
        <f>COUNTIF(M$5:M$10,"ST*")</f>
        <v/>
      </c>
      <c r="N17" s="37">
        <f>COUNTIF(N$5:N$10,"ST*")</f>
        <v/>
      </c>
      <c r="O17" s="37">
        <f>COUNTIF(O$5:O$10,"ST*")</f>
        <v/>
      </c>
      <c r="P17" s="37">
        <f>COUNTIF(P$5:P$10,"ST*")</f>
        <v/>
      </c>
      <c r="Q17" s="37">
        <f>COUNTIF(Q$5:Q$10,"ST*")</f>
        <v/>
      </c>
      <c r="R17" s="37">
        <f>COUNTIF(R$5:R$10,"ST*")</f>
        <v/>
      </c>
      <c r="S17" s="37">
        <f>COUNTIF(S$5:S$10,"ST*")</f>
        <v/>
      </c>
      <c r="T17" s="37">
        <f>COUNTIF(T$5:T$10,"ST*")</f>
        <v/>
      </c>
      <c r="U17" s="37">
        <f>COUNTIF(U$5:U$10,"ST*")</f>
        <v/>
      </c>
      <c r="V17" s="37">
        <f>COUNTIF(V$5:V$10,"ST*")</f>
        <v/>
      </c>
      <c r="W17" s="37">
        <f>COUNTIF(W$5:W$10,"ST*")</f>
        <v/>
      </c>
      <c r="X17" s="37">
        <f>COUNTIF(X$5:X$10,"ST*")</f>
        <v/>
      </c>
      <c r="Y17" s="37">
        <f>COUNTIF(Y$5:Y$10,"ST*")</f>
        <v/>
      </c>
      <c r="Z17" s="37">
        <f>COUNTIF(Z$5:Z$10,"ST*")</f>
        <v/>
      </c>
      <c r="AA17" s="37">
        <f>COUNTIF(AA$5:AA$10,"ST*")</f>
        <v/>
      </c>
      <c r="AB17" s="37">
        <f>COUNTIF(AB$5:AB$10,"ST*")</f>
        <v/>
      </c>
      <c r="AC17" s="37">
        <f>COUNTIF(AC$5:AC$10,"ST*")</f>
        <v/>
      </c>
      <c r="AD17" s="37">
        <f>COUNTIF(AD$5:AD$10,"ST*")</f>
        <v/>
      </c>
      <c r="AE17" s="37">
        <f>COUNTIF(AE$5:AE$10,"ST*")</f>
        <v/>
      </c>
      <c r="AF17" s="37">
        <f>COUNTIF(AF$5:AF$10,"ST*")</f>
        <v/>
      </c>
      <c r="AG17" s="37">
        <f>COUNTIF(AG$5:AG$10,"ST*")</f>
        <v/>
      </c>
      <c r="AH17" s="37">
        <f>COUNTIF(AH$5:AH$10,"ST*")</f>
        <v/>
      </c>
      <c r="AI17" s="37">
        <f>COUNTIF(AI$5:AI$10,"ST*")</f>
        <v/>
      </c>
      <c r="AJ17" s="37">
        <f>COUNTIF(AJ$5:AJ$10,"ST*")</f>
        <v/>
      </c>
    </row>
    <row r="18" ht="18.75" customHeight="1" s="6">
      <c r="C18" s="88" t="inlineStr">
        <is>
          <t>Extra Staffs</t>
        </is>
      </c>
      <c r="D18" s="134" t="n"/>
      <c r="E18" s="38" t="n"/>
      <c r="F18" s="59">
        <f>F20-F21</f>
        <v/>
      </c>
      <c r="G18" s="59">
        <f>G20-G21</f>
        <v/>
      </c>
      <c r="H18" s="59">
        <f>H20-H21</f>
        <v/>
      </c>
      <c r="I18" s="59">
        <f>I20-I21</f>
        <v/>
      </c>
      <c r="J18" s="59">
        <f>J20-J21</f>
        <v/>
      </c>
      <c r="K18" s="59">
        <f>K20-K21</f>
        <v/>
      </c>
      <c r="L18" s="59">
        <f>L20-L21</f>
        <v/>
      </c>
      <c r="M18" s="59">
        <f>M20-M21</f>
        <v/>
      </c>
      <c r="N18" s="59">
        <f>N20-N21</f>
        <v/>
      </c>
      <c r="O18" s="59">
        <f>O20-O21</f>
        <v/>
      </c>
      <c r="P18" s="59">
        <f>P20-P21</f>
        <v/>
      </c>
      <c r="Q18" s="59">
        <f>Q20-Q21</f>
        <v/>
      </c>
      <c r="R18" s="59">
        <f>R20-R21</f>
        <v/>
      </c>
      <c r="S18" s="59">
        <f>S20-S21</f>
        <v/>
      </c>
      <c r="T18" s="59">
        <f>T20-T21</f>
        <v/>
      </c>
      <c r="U18" s="59">
        <f>U20-U21</f>
        <v/>
      </c>
      <c r="V18" s="59">
        <f>V20-V21</f>
        <v/>
      </c>
      <c r="W18" s="59">
        <f>W20-W21</f>
        <v/>
      </c>
      <c r="X18" s="59">
        <f>X20-X21</f>
        <v/>
      </c>
      <c r="Y18" s="59">
        <f>Y20-Y21</f>
        <v/>
      </c>
      <c r="Z18" s="59">
        <f>Z20-Z21</f>
        <v/>
      </c>
      <c r="AA18" s="59">
        <f>AA20-AA21</f>
        <v/>
      </c>
      <c r="AB18" s="59">
        <f>AB20-AB21</f>
        <v/>
      </c>
      <c r="AC18" s="59">
        <f>AC20-AC21</f>
        <v/>
      </c>
      <c r="AD18" s="59">
        <f>AD20-AD21</f>
        <v/>
      </c>
      <c r="AE18" s="59">
        <f>AE20-AE21</f>
        <v/>
      </c>
      <c r="AF18" s="59">
        <f>AF20-AF21</f>
        <v/>
      </c>
      <c r="AG18" s="59">
        <f>AG20-AG21</f>
        <v/>
      </c>
      <c r="AH18" s="59">
        <f>AH20-AH21</f>
        <v/>
      </c>
      <c r="AI18" s="59">
        <f>AI20-AI21</f>
        <v/>
      </c>
      <c r="AJ18" s="59">
        <f>AJ20-AJ21</f>
        <v/>
      </c>
    </row>
    <row r="19" ht="9.75" customHeight="1" s="6">
      <c r="C19" s="40" t="n"/>
      <c r="D19" s="40" t="n"/>
      <c r="E19" s="36" t="n"/>
      <c r="F19" s="89" t="n"/>
      <c r="G19" s="133" t="n"/>
      <c r="H19" s="133" t="n"/>
      <c r="I19" s="133" t="n"/>
      <c r="J19" s="133" t="n"/>
      <c r="K19" s="133" t="n"/>
      <c r="L19" s="133" t="n"/>
      <c r="M19" s="133" t="n"/>
      <c r="N19" s="133" t="n"/>
      <c r="O19" s="133" t="n"/>
      <c r="P19" s="133" t="n"/>
      <c r="Q19" s="133" t="n"/>
      <c r="R19" s="133" t="n"/>
      <c r="S19" s="133" t="n"/>
      <c r="T19" s="133" t="n"/>
      <c r="U19" s="133" t="n"/>
      <c r="V19" s="133" t="n"/>
      <c r="W19" s="133" t="n"/>
      <c r="X19" s="133" t="n"/>
      <c r="Y19" s="133" t="n"/>
      <c r="Z19" s="133" t="n"/>
      <c r="AA19" s="133" t="n"/>
      <c r="AB19" s="133" t="n"/>
      <c r="AC19" s="133" t="n"/>
      <c r="AD19" s="133" t="n"/>
      <c r="AE19" s="133" t="n"/>
      <c r="AF19" s="133" t="n"/>
      <c r="AG19" s="133" t="n"/>
      <c r="AH19" s="133" t="n"/>
      <c r="AI19" s="133" t="n"/>
      <c r="AJ19" s="133" t="n"/>
    </row>
    <row r="20" ht="18.75" customHeight="1" s="6">
      <c r="C20" s="90" t="inlineStr">
        <is>
          <t xml:space="preserve">On duty </t>
        </is>
      </c>
      <c r="D20" s="134" t="n"/>
      <c r="E20" s="36" t="n"/>
      <c r="F20" s="41">
        <f>SUM(F12:F14)</f>
        <v/>
      </c>
      <c r="G20" s="41">
        <f>SUM(G12:G14)</f>
        <v/>
      </c>
      <c r="H20" s="41">
        <f>SUM(H12:H14)</f>
        <v/>
      </c>
      <c r="I20" s="41">
        <f>SUM(I12:I14)</f>
        <v/>
      </c>
      <c r="J20" s="41">
        <f>SUM(J12:J14)</f>
        <v/>
      </c>
      <c r="K20" s="41">
        <f>SUM(K12:K14)</f>
        <v/>
      </c>
      <c r="L20" s="41">
        <f>SUM(L12:L14)</f>
        <v/>
      </c>
      <c r="M20" s="41">
        <f>SUM(M12:M14)</f>
        <v/>
      </c>
      <c r="N20" s="41">
        <f>SUM(N12:N14)</f>
        <v/>
      </c>
      <c r="O20" s="41">
        <f>SUM(O12:O14)</f>
        <v/>
      </c>
      <c r="P20" s="41">
        <f>SUM(P12:P14)</f>
        <v/>
      </c>
      <c r="Q20" s="41">
        <f>SUM(Q12:Q14)</f>
        <v/>
      </c>
      <c r="R20" s="41">
        <f>SUM(R12:R14)</f>
        <v/>
      </c>
      <c r="S20" s="41">
        <f>SUM(S12:S14)</f>
        <v/>
      </c>
      <c r="T20" s="41">
        <f>SUM(T12:T14)</f>
        <v/>
      </c>
      <c r="U20" s="41">
        <f>SUM(U12:U14)</f>
        <v/>
      </c>
      <c r="V20" s="41">
        <f>SUM(V12:V14)</f>
        <v/>
      </c>
      <c r="W20" s="41">
        <f>SUM(W12:W14)</f>
        <v/>
      </c>
      <c r="X20" s="41">
        <f>SUM(X12:X14)</f>
        <v/>
      </c>
      <c r="Y20" s="41">
        <f>SUM(Y12:Y14)</f>
        <v/>
      </c>
      <c r="Z20" s="41">
        <f>SUM(Z12:Z14)</f>
        <v/>
      </c>
      <c r="AA20" s="41">
        <f>SUM(AA12:AA14)</f>
        <v/>
      </c>
      <c r="AB20" s="41">
        <f>SUM(AB12:AB14)</f>
        <v/>
      </c>
      <c r="AC20" s="41">
        <f>SUM(AC12:AC14)</f>
        <v/>
      </c>
      <c r="AD20" s="41">
        <f>SUM(AD12:AD14)</f>
        <v/>
      </c>
      <c r="AE20" s="41">
        <f>SUM(AE12:AE14)</f>
        <v/>
      </c>
      <c r="AF20" s="41">
        <f>SUM(AF12:AF14)</f>
        <v/>
      </c>
      <c r="AG20" s="41">
        <f>SUM(AG12:AG14)</f>
        <v/>
      </c>
      <c r="AH20" s="41">
        <f>SUM(AH12:AH14)</f>
        <v/>
      </c>
      <c r="AI20" s="41">
        <f>SUM(AI12:AI14)</f>
        <v/>
      </c>
      <c r="AJ20" s="41" t="n">
        <v>18</v>
      </c>
    </row>
    <row r="21" ht="18.75" customHeight="1" s="6">
      <c r="C21" s="90" t="inlineStr">
        <is>
          <t xml:space="preserve">Minimum Requirement </t>
        </is>
      </c>
      <c r="D21" s="134" t="n"/>
      <c r="E21" s="36" t="n"/>
      <c r="F21" s="37" t="n">
        <v>3</v>
      </c>
      <c r="G21" s="37" t="n">
        <v>3</v>
      </c>
      <c r="H21" s="37" t="n">
        <v>3</v>
      </c>
      <c r="I21" s="37" t="n">
        <v>3</v>
      </c>
      <c r="J21" s="37" t="n">
        <v>3</v>
      </c>
      <c r="K21" s="37" t="n">
        <v>3</v>
      </c>
      <c r="L21" s="37" t="n">
        <v>3</v>
      </c>
      <c r="M21" s="37" t="n">
        <v>3</v>
      </c>
      <c r="N21" s="37" t="n">
        <v>3</v>
      </c>
      <c r="O21" s="37" t="n">
        <v>3</v>
      </c>
      <c r="P21" s="37" t="n">
        <v>3</v>
      </c>
      <c r="Q21" s="37" t="n">
        <v>3</v>
      </c>
      <c r="R21" s="37" t="n">
        <v>3</v>
      </c>
      <c r="S21" s="37" t="n">
        <v>3</v>
      </c>
      <c r="T21" s="37" t="n">
        <v>3</v>
      </c>
      <c r="U21" s="37" t="n">
        <v>3</v>
      </c>
      <c r="V21" s="37" t="n">
        <v>3</v>
      </c>
      <c r="W21" s="37" t="n">
        <v>3</v>
      </c>
      <c r="X21" s="37" t="n">
        <v>3</v>
      </c>
      <c r="Y21" s="37" t="n">
        <v>3</v>
      </c>
      <c r="Z21" s="37" t="n">
        <v>3</v>
      </c>
      <c r="AA21" s="37" t="n">
        <v>3</v>
      </c>
      <c r="AB21" s="37" t="n">
        <v>3</v>
      </c>
      <c r="AC21" s="37" t="n">
        <v>3</v>
      </c>
      <c r="AD21" s="37" t="n">
        <v>3</v>
      </c>
      <c r="AE21" s="37" t="n">
        <v>3</v>
      </c>
      <c r="AF21" s="37" t="n">
        <v>3</v>
      </c>
      <c r="AG21" s="37" t="n">
        <v>3</v>
      </c>
      <c r="AH21" s="37" t="n">
        <v>3</v>
      </c>
      <c r="AI21" s="37" t="n">
        <v>3</v>
      </c>
      <c r="AJ21" s="37" t="n">
        <v>3</v>
      </c>
    </row>
    <row r="22" ht="18.75" customHeight="1" s="6">
      <c r="C22" s="90" t="inlineStr">
        <is>
          <t xml:space="preserve">Total Staffs  </t>
        </is>
      </c>
      <c r="D22" s="134" t="n"/>
      <c r="E22" s="36" t="n"/>
      <c r="F22" s="37">
        <f>SUM(F12,F13,F14,F15,F17)</f>
        <v/>
      </c>
      <c r="G22" s="37">
        <f>SUM(G12,G13,G14,G15,G17)</f>
        <v/>
      </c>
      <c r="H22" s="37">
        <f>SUM(H12,H13,H14,H15,H17)</f>
        <v/>
      </c>
      <c r="I22" s="37">
        <f>SUM(I12,I13,I14,I15,I17)</f>
        <v/>
      </c>
      <c r="J22" s="37">
        <f>SUM(J12,J13,J14,J15,J17)</f>
        <v/>
      </c>
      <c r="K22" s="37">
        <f>SUM(K12,K13,K14,K15,K17)</f>
        <v/>
      </c>
      <c r="L22" s="37">
        <f>SUM(L12,L13,L14,L15,L17)</f>
        <v/>
      </c>
      <c r="M22" s="37">
        <f>SUM(M12,M13,M14,M15,M17)</f>
        <v/>
      </c>
      <c r="N22" s="37">
        <f>SUM(N12,N13,N14,N15,N17)</f>
        <v/>
      </c>
      <c r="O22" s="37">
        <f>SUM(O12,O13,O14,O15,O17)</f>
        <v/>
      </c>
      <c r="P22" s="37">
        <f>SUM(P12,P13,P14,P15,P17)</f>
        <v/>
      </c>
      <c r="Q22" s="37">
        <f>SUM(Q12,Q13,Q14,Q15,Q17)</f>
        <v/>
      </c>
      <c r="R22" s="37">
        <f>SUM(R12,R13,R14,R15,R17)</f>
        <v/>
      </c>
      <c r="S22" s="37">
        <f>SUM(S12,S13,S14,S15,S17)</f>
        <v/>
      </c>
      <c r="T22" s="37">
        <f>SUM(T12,T13,T14,T15,T17)</f>
        <v/>
      </c>
      <c r="U22" s="37">
        <f>SUM(U12,U13,U14,U15,U17)</f>
        <v/>
      </c>
      <c r="V22" s="37">
        <f>SUM(V12,V13,V14,V15,V17)</f>
        <v/>
      </c>
      <c r="W22" s="37">
        <f>SUM(W12,W13,W14,W15,W17)</f>
        <v/>
      </c>
      <c r="X22" s="37">
        <f>SUM(X12,X13,X14,X15,X17)</f>
        <v/>
      </c>
      <c r="Y22" s="37">
        <f>SUM(Y12,Y13,Y14,Y15,Y17)</f>
        <v/>
      </c>
      <c r="Z22" s="37">
        <f>SUM(Z12,Z13,Z14,Z15,Z17)</f>
        <v/>
      </c>
      <c r="AA22" s="37">
        <f>SUM(AA12,AA13,AA14,AA15,AA17)</f>
        <v/>
      </c>
      <c r="AB22" s="37">
        <f>SUM(AB12,AB13,AB14,AB15,AB17)</f>
        <v/>
      </c>
      <c r="AC22" s="37">
        <f>SUM(AC12,AC13,AC14,AC15,AC17)</f>
        <v/>
      </c>
      <c r="AD22" s="37">
        <f>SUM(AD12,AD13,AD14,AD15,AD17)</f>
        <v/>
      </c>
      <c r="AE22" s="37">
        <f>SUM(AE12,AE13,AE14,AE15,AE17)</f>
        <v/>
      </c>
      <c r="AF22" s="37">
        <f>SUM(AF12,AF13,AF14,AF15,AF17)</f>
        <v/>
      </c>
      <c r="AG22" s="37">
        <f>SUM(AG12,AG13,AG14,AG15,AG17)</f>
        <v/>
      </c>
      <c r="AH22" s="37">
        <f>SUM(AH12,AH13,AH14,AH15,AH17)</f>
        <v/>
      </c>
      <c r="AI22" s="37">
        <f>SUM(AI12,AI13,AI14,AI15,AI17)</f>
        <v/>
      </c>
      <c r="AJ22" s="37" t="n">
        <v>35</v>
      </c>
    </row>
  </sheetData>
  <mergeCells count="24">
    <mergeCell ref="C21:D21"/>
    <mergeCell ref="C22:D22"/>
    <mergeCell ref="C15:D15"/>
    <mergeCell ref="C16:D16"/>
    <mergeCell ref="C17:D17"/>
    <mergeCell ref="C18:D18"/>
    <mergeCell ref="F19:AJ19"/>
    <mergeCell ref="C20:D20"/>
    <mergeCell ref="C12:D12"/>
    <mergeCell ref="C13:D13"/>
    <mergeCell ref="C14:D14"/>
    <mergeCell ref="C9:D9"/>
    <mergeCell ref="C10:D10"/>
    <mergeCell ref="B3:D4"/>
    <mergeCell ref="C5:D5"/>
    <mergeCell ref="C6:D6"/>
    <mergeCell ref="C7:D7"/>
    <mergeCell ref="C8:D8"/>
    <mergeCell ref="AP2:AP4"/>
    <mergeCell ref="F2:AJ2"/>
    <mergeCell ref="AL2:AL4"/>
    <mergeCell ref="AM2:AM4"/>
    <mergeCell ref="AN2:AN4"/>
    <mergeCell ref="AO2:AO4"/>
  </mergeCells>
  <conditionalFormatting sqref="F5:AI8 F9:AK9 F10:AI10">
    <cfRule type="containsText" priority="3" operator="containsText" dxfId="72" text="TR">
      <formula>NOT(ISERROR(SEARCH("TR",F5)))</formula>
    </cfRule>
  </conditionalFormatting>
  <conditionalFormatting sqref="F5:AJ8 F9:AK9 F10:AJ10">
    <cfRule type="containsText" priority="5" operator="containsText" dxfId="8" text="STN">
      <formula>NOT(ISERROR(SEARCH("STN",F5)))</formula>
    </cfRule>
    <cfRule type="containsText" priority="6" operator="containsText" dxfId="20" text="STN">
      <formula>NOT(ISERROR(SEARCH("STN",F5)))</formula>
    </cfRule>
    <cfRule type="containsText" priority="7" operator="containsText" dxfId="4" text="STM">
      <formula>NOT(ISERROR(SEARCH("STM",F5)))</formula>
    </cfRule>
    <cfRule type="containsText" priority="8" operator="containsText" dxfId="17" text="M">
      <formula>NOT(ISERROR(SEARCH("M",F5)))</formula>
    </cfRule>
    <cfRule type="containsText" priority="9" operator="containsText" dxfId="17" text="STM1">
      <formula>NOT(ISERROR(SEARCH("STM1",F5)))</formula>
    </cfRule>
    <cfRule type="containsText" priority="10" operator="containsText" dxfId="16" text="M">
      <formula>NOT(ISERROR(SEARCH("M",F5)))</formula>
    </cfRule>
    <cfRule type="containsText" priority="11" operator="containsText" dxfId="15" text="STM">
      <formula>NOT(ISERROR(SEARCH("STM",F5)))</formula>
    </cfRule>
    <cfRule type="containsText" priority="12" operator="containsText" dxfId="14" text="STM">
      <formula>NOT(ISERROR(SEARCH("STM",F5)))</formula>
    </cfRule>
    <cfRule type="containsText" priority="13" operator="containsText" dxfId="6" text="STM1">
      <formula>NOT(ISERROR(SEARCH("STM1",F5)))</formula>
    </cfRule>
    <cfRule type="containsText" priority="14" operator="containsText" dxfId="5" text="STA">
      <formula>NOT(ISERROR(SEARCH("STA",F5)))</formula>
    </cfRule>
    <cfRule type="containsText" priority="15" operator="containsText" dxfId="4" text="STM1">
      <formula>NOT(ISERROR(SEARCH("STM1",F5)))</formula>
    </cfRule>
    <cfRule type="containsText" priority="16" operator="containsText" dxfId="3" text="O">
      <formula>NOT(ISERROR(SEARCH("O",F5)))</formula>
    </cfRule>
    <cfRule type="containsText" priority="17" operator="containsText" dxfId="2" text="N">
      <formula>NOT(ISERROR(SEARCH("N",F5)))</formula>
    </cfRule>
    <cfRule type="containsText" priority="18" operator="containsText" dxfId="1" text="A">
      <formula>NOT(ISERROR(SEARCH("A",F5)))</formula>
    </cfRule>
    <cfRule type="containsText" priority="19" operator="containsText" dxfId="0" text="M">
      <formula>NOT(ISERROR(SEARCH("M",F5)))</formula>
    </cfRule>
  </conditionalFormatting>
  <conditionalFormatting sqref="H8">
    <cfRule type="expression" priority="4" dxfId="89">
      <formula>LEFT(#REF!,1)="TR"</formula>
    </cfRule>
  </conditionalFormatting>
  <conditionalFormatting sqref="P8 X8">
    <cfRule type="expression" priority="1" dxfId="89">
      <formula>LEFT(#REF!,1)="TR"</formula>
    </cfRule>
  </conditionalFormatting>
  <conditionalFormatting sqref="P8">
    <cfRule type="expression" priority="2" dxfId="89">
      <formula>LEFT(#REF!,1)="TR"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AP52"/>
  <sheetViews>
    <sheetView tabSelected="1" topLeftCell="A2" zoomScale="80" zoomScaleNormal="80" workbookViewId="0">
      <pane xSplit="4" ySplit="3" topLeftCell="E10" activePane="bottomRight" state="frozen"/>
      <selection activeCell="A2" sqref="A2"/>
      <selection pane="topRight" activeCell="E2" sqref="E2"/>
      <selection pane="bottomLeft" activeCell="A5" sqref="A5"/>
      <selection pane="bottomRight" activeCell="V47" sqref="V47"/>
    </sheetView>
  </sheetViews>
  <sheetFormatPr baseColWidth="8" defaultRowHeight="15.75"/>
  <cols>
    <col width="3.42578125" customWidth="1" style="18" min="1" max="1"/>
    <col width="7.140625" customWidth="1" style="18" min="2" max="2"/>
    <col width="12.85546875" customWidth="1" style="18" min="3" max="3"/>
    <col width="31.5703125" customWidth="1" style="20" min="4" max="4"/>
    <col width="2.28515625" customWidth="1" style="18" min="5" max="5"/>
    <col width="10.7109375" customWidth="1" style="18" min="6" max="36"/>
    <col width="4.28515625" customWidth="1" style="18" min="37" max="37"/>
    <col width="9.140625" customWidth="1" style="18" min="38" max="41"/>
    <col width="12.28515625" bestFit="1" customWidth="1" style="18" min="42" max="42"/>
    <col width="9.140625" customWidth="1" style="18" min="43" max="16384"/>
  </cols>
  <sheetData>
    <row r="1" ht="16.5" customHeight="1" s="6" thickBot="1"/>
    <row r="2" ht="39" customHeight="1" s="6" thickBot="1">
      <c r="F2" s="93" t="inlineStr">
        <is>
          <t>Export Checkers Roster for the Month of NOVEMBER 2025</t>
        </is>
      </c>
      <c r="G2" s="139" t="n"/>
      <c r="H2" s="139" t="n"/>
      <c r="I2" s="139" t="n"/>
      <c r="J2" s="139" t="n"/>
      <c r="K2" s="139" t="n"/>
      <c r="L2" s="139" t="n"/>
      <c r="M2" s="139" t="n"/>
      <c r="N2" s="139" t="n"/>
      <c r="O2" s="139" t="n"/>
      <c r="P2" s="139" t="n"/>
      <c r="Q2" s="139" t="n"/>
      <c r="R2" s="139" t="n"/>
      <c r="S2" s="139" t="n"/>
      <c r="T2" s="139" t="n"/>
      <c r="U2" s="139" t="n"/>
      <c r="V2" s="139" t="n"/>
      <c r="W2" s="139" t="n"/>
      <c r="X2" s="139" t="n"/>
      <c r="Y2" s="139" t="n"/>
      <c r="Z2" s="139" t="n"/>
      <c r="AA2" s="139" t="n"/>
      <c r="AB2" s="139" t="n"/>
      <c r="AC2" s="139" t="n"/>
      <c r="AD2" s="139" t="n"/>
      <c r="AE2" s="139" t="n"/>
      <c r="AF2" s="139" t="n"/>
      <c r="AG2" s="139" t="n"/>
      <c r="AH2" s="139" t="n"/>
      <c r="AI2" s="139" t="n"/>
      <c r="AJ2" s="140" t="n"/>
      <c r="AL2" s="141" t="inlineStr">
        <is>
          <t xml:space="preserve">Staff Number Of Days Standby </t>
        </is>
      </c>
      <c r="AM2" s="141" t="inlineStr">
        <is>
          <t>Staff's Morning Duty</t>
        </is>
      </c>
      <c r="AN2" s="141" t="inlineStr">
        <is>
          <t>Staff's Afternoon Duty</t>
        </is>
      </c>
      <c r="AO2" s="141" t="inlineStr">
        <is>
          <t>Staff's Night Duty</t>
        </is>
      </c>
      <c r="AP2" s="141" t="inlineStr">
        <is>
          <t>Staff's Offdays</t>
        </is>
      </c>
    </row>
    <row r="3" ht="39.75" customHeight="1" s="6" thickBot="1">
      <c r="B3" s="91" t="inlineStr">
        <is>
          <t>Employee</t>
        </is>
      </c>
      <c r="C3" s="142" t="n"/>
      <c r="D3" s="132" t="n"/>
      <c r="F3" s="52" t="inlineStr">
        <is>
          <t>SAT</t>
        </is>
      </c>
      <c r="G3" s="53" t="inlineStr">
        <is>
          <t>SUN</t>
        </is>
      </c>
      <c r="H3" s="53" t="inlineStr">
        <is>
          <t>MON</t>
        </is>
      </c>
      <c r="I3" s="54" t="inlineStr">
        <is>
          <t>TUE</t>
        </is>
      </c>
      <c r="J3" s="53" t="inlineStr">
        <is>
          <t>WED</t>
        </is>
      </c>
      <c r="K3" s="53" t="inlineStr">
        <is>
          <t>THU</t>
        </is>
      </c>
      <c r="L3" s="54" t="inlineStr">
        <is>
          <t>FRI</t>
        </is>
      </c>
      <c r="M3" s="53" t="inlineStr">
        <is>
          <t>SAT</t>
        </is>
      </c>
      <c r="N3" s="53" t="inlineStr">
        <is>
          <t>SUN</t>
        </is>
      </c>
      <c r="O3" s="54" t="inlineStr">
        <is>
          <t>MON</t>
        </is>
      </c>
      <c r="P3" s="53" t="inlineStr">
        <is>
          <t>TUE</t>
        </is>
      </c>
      <c r="Q3" s="53" t="inlineStr">
        <is>
          <t>WED</t>
        </is>
      </c>
      <c r="R3" s="54" t="inlineStr">
        <is>
          <t>THU</t>
        </is>
      </c>
      <c r="S3" s="53" t="inlineStr">
        <is>
          <t>FRI</t>
        </is>
      </c>
      <c r="T3" s="53" t="inlineStr">
        <is>
          <t>SAT</t>
        </is>
      </c>
      <c r="U3" s="54" t="inlineStr">
        <is>
          <t>SUN</t>
        </is>
      </c>
      <c r="V3" s="53" t="inlineStr">
        <is>
          <t>MON</t>
        </is>
      </c>
      <c r="W3" s="53" t="inlineStr">
        <is>
          <t>TUE</t>
        </is>
      </c>
      <c r="X3" s="54" t="inlineStr">
        <is>
          <t>WED</t>
        </is>
      </c>
      <c r="Y3" s="53" t="inlineStr">
        <is>
          <t>THU</t>
        </is>
      </c>
      <c r="Z3" s="53" t="inlineStr">
        <is>
          <t>FRI</t>
        </is>
      </c>
      <c r="AA3" s="54" t="inlineStr">
        <is>
          <t>SAT</t>
        </is>
      </c>
      <c r="AB3" s="53" t="inlineStr">
        <is>
          <t>SUN</t>
        </is>
      </c>
      <c r="AC3" s="53" t="inlineStr">
        <is>
          <t>MON</t>
        </is>
      </c>
      <c r="AD3" s="54" t="inlineStr">
        <is>
          <t>TUE</t>
        </is>
      </c>
      <c r="AE3" s="53" t="inlineStr">
        <is>
          <t>WED</t>
        </is>
      </c>
      <c r="AF3" s="53" t="inlineStr">
        <is>
          <t>THU</t>
        </is>
      </c>
      <c r="AG3" s="54" t="inlineStr">
        <is>
          <t>FRI</t>
        </is>
      </c>
      <c r="AH3" s="53" t="inlineStr">
        <is>
          <t>SAT</t>
        </is>
      </c>
      <c r="AI3" s="55" t="inlineStr">
        <is>
          <t>SUN</t>
        </is>
      </c>
      <c r="AJ3" s="47" t="n"/>
      <c r="AL3" s="11" t="n"/>
      <c r="AM3" s="11" t="n"/>
      <c r="AN3" s="11" t="n"/>
      <c r="AO3" s="11" t="n"/>
      <c r="AP3" s="11" t="n"/>
    </row>
    <row r="4" ht="19.5" customHeight="1" s="6" thickBot="1">
      <c r="B4" s="137" t="n"/>
      <c r="C4" s="143" t="n"/>
      <c r="D4" s="138" t="n"/>
      <c r="F4" s="48" t="n">
        <v>1</v>
      </c>
      <c r="G4" s="49" t="n">
        <v>2</v>
      </c>
      <c r="H4" s="49" t="n">
        <v>3</v>
      </c>
      <c r="I4" s="49" t="n">
        <v>4</v>
      </c>
      <c r="J4" s="49" t="n">
        <v>5</v>
      </c>
      <c r="K4" s="49" t="n">
        <v>6</v>
      </c>
      <c r="L4" s="49" t="n">
        <v>7</v>
      </c>
      <c r="M4" s="49" t="n">
        <v>8</v>
      </c>
      <c r="N4" s="49" t="n">
        <v>9</v>
      </c>
      <c r="O4" s="49" t="n">
        <v>10</v>
      </c>
      <c r="P4" s="49" t="n">
        <v>11</v>
      </c>
      <c r="Q4" s="49" t="n">
        <v>12</v>
      </c>
      <c r="R4" s="49" t="n">
        <v>13</v>
      </c>
      <c r="S4" s="49" t="n">
        <v>14</v>
      </c>
      <c r="T4" s="49" t="n">
        <v>15</v>
      </c>
      <c r="U4" s="49" t="n">
        <v>16</v>
      </c>
      <c r="V4" s="49" t="n">
        <v>17</v>
      </c>
      <c r="W4" s="49" t="n">
        <v>18</v>
      </c>
      <c r="X4" s="49" t="n">
        <v>19</v>
      </c>
      <c r="Y4" s="49" t="n">
        <v>20</v>
      </c>
      <c r="Z4" s="49" t="n">
        <v>21</v>
      </c>
      <c r="AA4" s="49" t="n">
        <v>22</v>
      </c>
      <c r="AB4" s="49" t="n">
        <v>23</v>
      </c>
      <c r="AC4" s="49" t="n">
        <v>24</v>
      </c>
      <c r="AD4" s="49" t="n">
        <v>25</v>
      </c>
      <c r="AE4" s="49" t="n">
        <v>26</v>
      </c>
      <c r="AF4" s="49" t="n">
        <v>27</v>
      </c>
      <c r="AG4" s="49" t="n">
        <v>28</v>
      </c>
      <c r="AH4" s="49" t="n">
        <v>29</v>
      </c>
      <c r="AI4" s="50" t="n">
        <v>30</v>
      </c>
      <c r="AJ4" s="51" t="n"/>
      <c r="AL4" s="12" t="n"/>
      <c r="AM4" s="12" t="n"/>
      <c r="AN4" s="12" t="n"/>
      <c r="AO4" s="12" t="n"/>
      <c r="AP4" s="12" t="n"/>
    </row>
    <row r="5" ht="18.75" customHeight="1" s="6">
      <c r="B5" s="37" t="n">
        <v>1</v>
      </c>
      <c r="C5" s="92" t="inlineStr">
        <is>
          <t>Mohamed Al Mazroie - 82658</t>
        </is>
      </c>
      <c r="D5" s="134" t="n"/>
      <c r="F5" s="57" t="inlineStr">
        <is>
          <t>M1</t>
        </is>
      </c>
      <c r="G5" s="57" t="inlineStr">
        <is>
          <t>A1</t>
        </is>
      </c>
      <c r="H5" s="57" t="inlineStr">
        <is>
          <t>N1</t>
        </is>
      </c>
      <c r="I5" s="57" t="inlineStr">
        <is>
          <t>N2</t>
        </is>
      </c>
      <c r="J5" s="57" t="inlineStr">
        <is>
          <t>O1</t>
        </is>
      </c>
      <c r="K5" s="57" t="inlineStr">
        <is>
          <t>O2</t>
        </is>
      </c>
      <c r="L5" s="57" t="inlineStr">
        <is>
          <t>O3</t>
        </is>
      </c>
      <c r="M5" s="57" t="inlineStr">
        <is>
          <t>M1</t>
        </is>
      </c>
      <c r="N5" s="57" t="inlineStr">
        <is>
          <t>A1</t>
        </is>
      </c>
      <c r="O5" s="57" t="inlineStr">
        <is>
          <t>A2</t>
        </is>
      </c>
      <c r="P5" s="57" t="inlineStr">
        <is>
          <t>N1</t>
        </is>
      </c>
      <c r="Q5" s="57" t="inlineStr">
        <is>
          <t>N2</t>
        </is>
      </c>
      <c r="R5" s="57" t="inlineStr">
        <is>
          <t>O1</t>
        </is>
      </c>
      <c r="S5" s="57" t="inlineStr">
        <is>
          <t>O2</t>
        </is>
      </c>
      <c r="T5" s="57" t="inlineStr">
        <is>
          <t>O3</t>
        </is>
      </c>
      <c r="U5" s="57" t="inlineStr">
        <is>
          <t>M1</t>
        </is>
      </c>
      <c r="V5" s="57" t="inlineStr">
        <is>
          <t>A1</t>
        </is>
      </c>
      <c r="W5" s="57" t="inlineStr">
        <is>
          <t>N1</t>
        </is>
      </c>
      <c r="X5" s="57" t="inlineStr">
        <is>
          <t>N2</t>
        </is>
      </c>
      <c r="Y5" s="57" t="inlineStr">
        <is>
          <t>N3</t>
        </is>
      </c>
      <c r="Z5" s="57" t="inlineStr">
        <is>
          <t>O1</t>
        </is>
      </c>
      <c r="AA5" s="57" t="inlineStr">
        <is>
          <t>O2</t>
        </is>
      </c>
      <c r="AB5" s="57" t="inlineStr">
        <is>
          <t>O3</t>
        </is>
      </c>
      <c r="AC5" s="57" t="inlineStr">
        <is>
          <t>M1</t>
        </is>
      </c>
      <c r="AD5" s="57" t="inlineStr">
        <is>
          <t>A1</t>
        </is>
      </c>
      <c r="AE5" s="57" t="inlineStr">
        <is>
          <t>A2</t>
        </is>
      </c>
      <c r="AF5" s="57" t="inlineStr">
        <is>
          <t>N1</t>
        </is>
      </c>
      <c r="AG5" s="57" t="inlineStr">
        <is>
          <t>N2</t>
        </is>
      </c>
      <c r="AH5" s="57" t="inlineStr">
        <is>
          <t>O1</t>
        </is>
      </c>
      <c r="AI5" s="25" t="inlineStr">
        <is>
          <t>O2</t>
        </is>
      </c>
      <c r="AJ5" s="25" t="n"/>
      <c r="AL5" s="56">
        <f>COUNTIF($F5:$AJ5,"ST*")</f>
        <v/>
      </c>
      <c r="AM5" s="56">
        <f>COUNTIF($F5:$AJ5,"M*")</f>
        <v/>
      </c>
      <c r="AN5" s="56">
        <f>COUNTIF($F5:$AJ5,"A*")</f>
        <v/>
      </c>
      <c r="AO5" s="56">
        <f>COUNTIF($F5:$AJ5,"N*")</f>
        <v/>
      </c>
      <c r="AP5" s="56">
        <f>COUNTIF($F5:$AJ5,"O*")</f>
        <v/>
      </c>
    </row>
    <row r="6" ht="18.75" customHeight="1" s="6">
      <c r="B6" s="37" t="n">
        <v>2</v>
      </c>
      <c r="C6" s="92" t="inlineStr">
        <is>
          <t>Khalifa Al Maqbali - 82673</t>
        </is>
      </c>
      <c r="D6" s="134" t="n"/>
      <c r="F6" s="57" t="inlineStr">
        <is>
          <t>N2</t>
        </is>
      </c>
      <c r="G6" s="57" t="inlineStr">
        <is>
          <t>O1</t>
        </is>
      </c>
      <c r="H6" s="57" t="inlineStr">
        <is>
          <t>O2</t>
        </is>
      </c>
      <c r="I6" s="57" t="inlineStr">
        <is>
          <t>O3</t>
        </is>
      </c>
      <c r="J6" s="57" t="inlineStr">
        <is>
          <t>M1</t>
        </is>
      </c>
      <c r="K6" s="57" t="inlineStr">
        <is>
          <t>A1</t>
        </is>
      </c>
      <c r="L6" s="57" t="inlineStr">
        <is>
          <t>STN1</t>
        </is>
      </c>
      <c r="M6" s="57" t="inlineStr">
        <is>
          <t>N2</t>
        </is>
      </c>
      <c r="N6" s="57" t="inlineStr">
        <is>
          <t>N3</t>
        </is>
      </c>
      <c r="O6" s="57" t="inlineStr">
        <is>
          <t>O1</t>
        </is>
      </c>
      <c r="P6" s="57" t="inlineStr">
        <is>
          <t>O2</t>
        </is>
      </c>
      <c r="Q6" s="57" t="inlineStr">
        <is>
          <t>O3</t>
        </is>
      </c>
      <c r="R6" s="57" t="inlineStr">
        <is>
          <t>M1</t>
        </is>
      </c>
      <c r="S6" s="57" t="inlineStr">
        <is>
          <t>M2</t>
        </is>
      </c>
      <c r="T6" s="57" t="inlineStr">
        <is>
          <t>A1</t>
        </is>
      </c>
      <c r="U6" s="57" t="inlineStr">
        <is>
          <t>A2</t>
        </is>
      </c>
      <c r="V6" s="57" t="inlineStr">
        <is>
          <t>N1</t>
        </is>
      </c>
      <c r="W6" s="57" t="inlineStr">
        <is>
          <t>O1</t>
        </is>
      </c>
      <c r="X6" s="57" t="inlineStr">
        <is>
          <t>O2</t>
        </is>
      </c>
      <c r="Y6" s="57" t="inlineStr">
        <is>
          <t>O3</t>
        </is>
      </c>
      <c r="Z6" s="57" t="inlineStr">
        <is>
          <t>M1</t>
        </is>
      </c>
      <c r="AA6" s="57" t="inlineStr">
        <is>
          <t>M2</t>
        </is>
      </c>
      <c r="AB6" s="57" t="inlineStr">
        <is>
          <t>A1</t>
        </is>
      </c>
      <c r="AC6" s="57" t="inlineStr">
        <is>
          <t>N1</t>
        </is>
      </c>
      <c r="AD6" s="57" t="inlineStr">
        <is>
          <t>N2</t>
        </is>
      </c>
      <c r="AE6" s="57" t="inlineStr">
        <is>
          <t>O1</t>
        </is>
      </c>
      <c r="AF6" s="57" t="inlineStr">
        <is>
          <t>O2</t>
        </is>
      </c>
      <c r="AG6" s="57" t="inlineStr">
        <is>
          <t>O3</t>
        </is>
      </c>
      <c r="AH6" s="57" t="inlineStr">
        <is>
          <t>STM1</t>
        </is>
      </c>
      <c r="AI6" s="25" t="inlineStr">
        <is>
          <t>M2</t>
        </is>
      </c>
      <c r="AJ6" s="25" t="n"/>
      <c r="AL6" s="56">
        <f>COUNTIF($F6:$AJ6,"ST*")</f>
        <v/>
      </c>
      <c r="AM6" s="56">
        <f>COUNTIF($F6:$AJ6,"M*")</f>
        <v/>
      </c>
      <c r="AN6" s="56">
        <f>COUNTIF($F6:$AJ6,"A*")</f>
        <v/>
      </c>
      <c r="AO6" s="56">
        <f>COUNTIF($F6:$AJ6,"N*")</f>
        <v/>
      </c>
      <c r="AP6" s="56">
        <f>COUNTIF($F6:$AJ6,"O*")</f>
        <v/>
      </c>
    </row>
    <row r="7" ht="18.75" customHeight="1" s="6">
      <c r="B7" s="37" t="n">
        <v>3</v>
      </c>
      <c r="C7" s="92" t="inlineStr">
        <is>
          <t>Wissam Al Kharusi - 82464</t>
        </is>
      </c>
      <c r="D7" s="134" t="n"/>
      <c r="F7" s="57" t="inlineStr">
        <is>
          <t>O1</t>
        </is>
      </c>
      <c r="G7" s="57" t="inlineStr">
        <is>
          <t>O2</t>
        </is>
      </c>
      <c r="H7" s="57" t="inlineStr">
        <is>
          <t>O3</t>
        </is>
      </c>
      <c r="I7" s="57" t="inlineStr">
        <is>
          <t>M1</t>
        </is>
      </c>
      <c r="J7" s="57" t="inlineStr">
        <is>
          <t>A1</t>
        </is>
      </c>
      <c r="K7" s="57" t="inlineStr">
        <is>
          <t>N1</t>
        </is>
      </c>
      <c r="L7" s="57" t="inlineStr">
        <is>
          <t>N2</t>
        </is>
      </c>
      <c r="M7" s="57" t="inlineStr">
        <is>
          <t>N3</t>
        </is>
      </c>
      <c r="N7" s="57" t="inlineStr">
        <is>
          <t>O1</t>
        </is>
      </c>
      <c r="O7" s="57" t="inlineStr">
        <is>
          <t>O2</t>
        </is>
      </c>
      <c r="P7" s="57" t="inlineStr">
        <is>
          <t>O3</t>
        </is>
      </c>
      <c r="Q7" s="57" t="inlineStr">
        <is>
          <t>TR</t>
        </is>
      </c>
      <c r="R7" s="57" t="inlineStr">
        <is>
          <t>TR</t>
        </is>
      </c>
      <c r="S7" s="57" t="inlineStr">
        <is>
          <t>STA2</t>
        </is>
      </c>
      <c r="T7" s="57" t="inlineStr">
        <is>
          <t>STN1</t>
        </is>
      </c>
      <c r="U7" s="57" t="inlineStr">
        <is>
          <t>N2</t>
        </is>
      </c>
      <c r="V7" s="57" t="inlineStr">
        <is>
          <t>O1</t>
        </is>
      </c>
      <c r="W7" s="57" t="inlineStr">
        <is>
          <t>O2</t>
        </is>
      </c>
      <c r="X7" s="57" t="inlineStr">
        <is>
          <t>O3</t>
        </is>
      </c>
      <c r="Y7" s="57" t="inlineStr">
        <is>
          <t>M1</t>
        </is>
      </c>
      <c r="Z7" s="57" t="inlineStr">
        <is>
          <t>A1</t>
        </is>
      </c>
      <c r="AA7" s="57" t="inlineStr">
        <is>
          <t>N1</t>
        </is>
      </c>
      <c r="AB7" s="57" t="inlineStr">
        <is>
          <t>N2</t>
        </is>
      </c>
      <c r="AC7" s="57" t="inlineStr">
        <is>
          <t>N3</t>
        </is>
      </c>
      <c r="AD7" s="57" t="inlineStr">
        <is>
          <t>O1</t>
        </is>
      </c>
      <c r="AE7" s="57" t="inlineStr">
        <is>
          <t>O2</t>
        </is>
      </c>
      <c r="AF7" s="57" t="inlineStr">
        <is>
          <t>O3</t>
        </is>
      </c>
      <c r="AG7" s="57" t="inlineStr">
        <is>
          <t>M1</t>
        </is>
      </c>
      <c r="AH7" s="57" t="inlineStr">
        <is>
          <t>M2</t>
        </is>
      </c>
      <c r="AI7" s="25" t="inlineStr">
        <is>
          <t>A1</t>
        </is>
      </c>
      <c r="AJ7" s="25" t="n"/>
      <c r="AL7" s="56">
        <f>COUNTIF($F7:$AJ7,"ST*")</f>
        <v/>
      </c>
      <c r="AM7" s="56">
        <f>COUNTIF($F7:$AJ7,"M*")</f>
        <v/>
      </c>
      <c r="AN7" s="56">
        <f>COUNTIF($F7:$AJ7,"A*")</f>
        <v/>
      </c>
      <c r="AO7" s="56">
        <f>COUNTIF($F7:$AJ7,"N*")</f>
        <v/>
      </c>
      <c r="AP7" s="56">
        <f>COUNTIF($F7:$AJ7,"O*")</f>
        <v/>
      </c>
    </row>
    <row r="8" ht="18.75" customHeight="1" s="6">
      <c r="B8" s="37" t="n">
        <v>4</v>
      </c>
      <c r="C8" s="92" t="inlineStr">
        <is>
          <t>Saif Al Mahrizi - 82649</t>
        </is>
      </c>
      <c r="D8" s="134" t="n"/>
      <c r="F8" s="57" t="inlineStr">
        <is>
          <t>O2</t>
        </is>
      </c>
      <c r="G8" s="57" t="inlineStr">
        <is>
          <t>O3</t>
        </is>
      </c>
      <c r="H8" s="57" t="inlineStr">
        <is>
          <t>M1</t>
        </is>
      </c>
      <c r="I8" s="57" t="inlineStr">
        <is>
          <t>A1</t>
        </is>
      </c>
      <c r="J8" s="57" t="inlineStr">
        <is>
          <t>N1</t>
        </is>
      </c>
      <c r="K8" s="57" t="inlineStr">
        <is>
          <t>N2</t>
        </is>
      </c>
      <c r="L8" s="57" t="inlineStr">
        <is>
          <t>N3</t>
        </is>
      </c>
      <c r="M8" s="57" t="inlineStr">
        <is>
          <t>O1</t>
        </is>
      </c>
      <c r="N8" s="57" t="inlineStr">
        <is>
          <t>O2</t>
        </is>
      </c>
      <c r="O8" s="57" t="inlineStr">
        <is>
          <t>O3</t>
        </is>
      </c>
      <c r="P8" s="57" t="inlineStr">
        <is>
          <t>M1</t>
        </is>
      </c>
      <c r="Q8" s="57" t="inlineStr">
        <is>
          <t>M2</t>
        </is>
      </c>
      <c r="R8" s="57" t="inlineStr">
        <is>
          <t>A1</t>
        </is>
      </c>
      <c r="S8" s="57" t="inlineStr">
        <is>
          <t>N1</t>
        </is>
      </c>
      <c r="T8" s="57" t="inlineStr">
        <is>
          <t>N2</t>
        </is>
      </c>
      <c r="U8" s="57" t="inlineStr">
        <is>
          <t>O1</t>
        </is>
      </c>
      <c r="V8" s="57" t="inlineStr">
        <is>
          <t>O2</t>
        </is>
      </c>
      <c r="W8" s="57" t="inlineStr">
        <is>
          <t>O3</t>
        </is>
      </c>
      <c r="X8" s="63" t="n"/>
      <c r="Y8" s="63" t="n"/>
      <c r="Z8" s="63" t="n"/>
      <c r="AA8" s="63" t="n"/>
      <c r="AB8" s="63" t="n"/>
      <c r="AC8" s="63" t="n"/>
      <c r="AD8" s="63" t="n"/>
      <c r="AE8" s="63" t="n"/>
      <c r="AF8" s="57" t="inlineStr">
        <is>
          <t>M1</t>
        </is>
      </c>
      <c r="AG8" s="57" t="inlineStr">
        <is>
          <t>M2</t>
        </is>
      </c>
      <c r="AH8" s="57" t="inlineStr">
        <is>
          <t>A1</t>
        </is>
      </c>
      <c r="AI8" s="25" t="inlineStr">
        <is>
          <t>A2</t>
        </is>
      </c>
      <c r="AJ8" s="24" t="n"/>
      <c r="AL8" s="56">
        <f>COUNTIF($F8:$AJ8,"ST*")</f>
        <v/>
      </c>
      <c r="AM8" s="56">
        <f>COUNTIF($F8:$AJ8,"M*")</f>
        <v/>
      </c>
      <c r="AN8" s="56">
        <f>COUNTIF($F8:$AJ8,"A*")</f>
        <v/>
      </c>
      <c r="AO8" s="56">
        <f>COUNTIF($F8:$AJ8,"N*")</f>
        <v/>
      </c>
      <c r="AP8" s="56">
        <f>COUNTIF($F8:$AJ8,"O*")</f>
        <v/>
      </c>
    </row>
    <row r="9" ht="18.75" customHeight="1" s="6">
      <c r="B9" s="37" t="n">
        <v>5</v>
      </c>
      <c r="C9" s="92" t="inlineStr">
        <is>
          <t>Abdulfatah Al Shukeili - 990465</t>
        </is>
      </c>
      <c r="D9" s="134" t="n"/>
      <c r="F9" s="57" t="inlineStr">
        <is>
          <t>O3</t>
        </is>
      </c>
      <c r="G9" s="57" t="inlineStr">
        <is>
          <t>M1</t>
        </is>
      </c>
      <c r="H9" s="57" t="inlineStr">
        <is>
          <t>M2</t>
        </is>
      </c>
      <c r="I9" s="57" t="inlineStr">
        <is>
          <t>A1</t>
        </is>
      </c>
      <c r="J9" s="57" t="inlineStr">
        <is>
          <t>TR</t>
        </is>
      </c>
      <c r="K9" s="57" t="inlineStr">
        <is>
          <t>N2</t>
        </is>
      </c>
      <c r="L9" s="57" t="inlineStr">
        <is>
          <t>O1</t>
        </is>
      </c>
      <c r="M9" s="57" t="inlineStr">
        <is>
          <t>O2</t>
        </is>
      </c>
      <c r="N9" s="57" t="inlineStr">
        <is>
          <t>O3</t>
        </is>
      </c>
      <c r="O9" s="57" t="inlineStr">
        <is>
          <t>TR</t>
        </is>
      </c>
      <c r="P9" s="57" t="inlineStr">
        <is>
          <t>A1</t>
        </is>
      </c>
      <c r="Q9" s="57" t="inlineStr">
        <is>
          <t>N1</t>
        </is>
      </c>
      <c r="R9" s="57" t="inlineStr">
        <is>
          <t>N2</t>
        </is>
      </c>
      <c r="S9" s="57" t="inlineStr">
        <is>
          <t>N3</t>
        </is>
      </c>
      <c r="T9" s="57" t="inlineStr">
        <is>
          <t>O1</t>
        </is>
      </c>
      <c r="U9" s="57" t="inlineStr">
        <is>
          <t>O2</t>
        </is>
      </c>
      <c r="V9" s="57" t="inlineStr">
        <is>
          <t>O3</t>
        </is>
      </c>
      <c r="W9" s="57" t="inlineStr">
        <is>
          <t>M1</t>
        </is>
      </c>
      <c r="X9" s="57" t="inlineStr">
        <is>
          <t>A1</t>
        </is>
      </c>
      <c r="Y9" s="57" t="inlineStr">
        <is>
          <t>N1</t>
        </is>
      </c>
      <c r="Z9" s="57" t="inlineStr">
        <is>
          <t>N2</t>
        </is>
      </c>
      <c r="AA9" s="57" t="inlineStr">
        <is>
          <t>N3</t>
        </is>
      </c>
      <c r="AB9" s="57" t="inlineStr">
        <is>
          <t>O1</t>
        </is>
      </c>
      <c r="AC9" s="57" t="inlineStr">
        <is>
          <t>O2</t>
        </is>
      </c>
      <c r="AD9" s="57" t="inlineStr">
        <is>
          <t>O3</t>
        </is>
      </c>
      <c r="AE9" s="57" t="inlineStr">
        <is>
          <t>M1</t>
        </is>
      </c>
      <c r="AF9" s="57" t="inlineStr">
        <is>
          <t>A1</t>
        </is>
      </c>
      <c r="AG9" s="57" t="inlineStr">
        <is>
          <t>A2</t>
        </is>
      </c>
      <c r="AH9" s="57" t="inlineStr">
        <is>
          <t>N1</t>
        </is>
      </c>
      <c r="AI9" s="25" t="inlineStr">
        <is>
          <t>N2</t>
        </is>
      </c>
      <c r="AJ9" s="25" t="n"/>
      <c r="AL9" s="56">
        <f>COUNTIF($F9:$AJ9,"ST*")</f>
        <v/>
      </c>
      <c r="AM9" s="56">
        <f>COUNTIF($F9:$AJ9,"M*")</f>
        <v/>
      </c>
      <c r="AN9" s="56">
        <f>COUNTIF($F9:$AJ9,"A*")</f>
        <v/>
      </c>
      <c r="AO9" s="56">
        <f>COUNTIF($F9:$AJ9,"N*")</f>
        <v/>
      </c>
      <c r="AP9" s="56">
        <f>COUNTIF($F9:$AJ9,"O*")</f>
        <v/>
      </c>
    </row>
    <row r="10" ht="18.75" customHeight="1" s="6">
      <c r="B10" s="37" t="n">
        <v>6</v>
      </c>
      <c r="C10" s="92" t="inlineStr">
        <is>
          <t>Ammar Al Hashmi - 82659</t>
        </is>
      </c>
      <c r="D10" s="134" t="n"/>
      <c r="F10" s="125" t="n"/>
      <c r="G10" s="125" t="n"/>
      <c r="H10" s="125" t="n"/>
      <c r="I10" s="125" t="n"/>
      <c r="J10" s="125" t="n"/>
      <c r="K10" s="57" t="inlineStr">
        <is>
          <t>O1</t>
        </is>
      </c>
      <c r="L10" s="57" t="inlineStr">
        <is>
          <t>O2</t>
        </is>
      </c>
      <c r="M10" s="57" t="inlineStr">
        <is>
          <t>O3</t>
        </is>
      </c>
      <c r="N10" s="57" t="inlineStr">
        <is>
          <t>M1</t>
        </is>
      </c>
      <c r="O10" s="57" t="inlineStr">
        <is>
          <t>A1</t>
        </is>
      </c>
      <c r="P10" s="57" t="inlineStr">
        <is>
          <t>A2</t>
        </is>
      </c>
      <c r="Q10" s="57" t="inlineStr">
        <is>
          <t>N1</t>
        </is>
      </c>
      <c r="R10" s="57" t="inlineStr">
        <is>
          <t>N2</t>
        </is>
      </c>
      <c r="S10" s="57" t="inlineStr">
        <is>
          <t>O1</t>
        </is>
      </c>
      <c r="T10" s="57" t="inlineStr">
        <is>
          <t>O2</t>
        </is>
      </c>
      <c r="U10" s="57" t="inlineStr">
        <is>
          <t>O3</t>
        </is>
      </c>
      <c r="V10" s="57" t="inlineStr">
        <is>
          <t>M1</t>
        </is>
      </c>
      <c r="W10" s="57" t="inlineStr">
        <is>
          <t>A1</t>
        </is>
      </c>
      <c r="X10" s="57" t="inlineStr">
        <is>
          <t>A2</t>
        </is>
      </c>
      <c r="Y10" s="57" t="inlineStr">
        <is>
          <t>N1</t>
        </is>
      </c>
      <c r="Z10" s="57" t="inlineStr">
        <is>
          <t>N2</t>
        </is>
      </c>
      <c r="AA10" s="57" t="inlineStr">
        <is>
          <t>O1</t>
        </is>
      </c>
      <c r="AB10" s="57" t="inlineStr">
        <is>
          <t>O2</t>
        </is>
      </c>
      <c r="AC10" s="57" t="inlineStr">
        <is>
          <t>O3</t>
        </is>
      </c>
      <c r="AD10" s="57" t="inlineStr">
        <is>
          <t>M1</t>
        </is>
      </c>
      <c r="AE10" s="57" t="inlineStr">
        <is>
          <t>A1</t>
        </is>
      </c>
      <c r="AF10" s="57" t="inlineStr">
        <is>
          <t>A2</t>
        </is>
      </c>
      <c r="AG10" s="57" t="inlineStr">
        <is>
          <t>N1</t>
        </is>
      </c>
      <c r="AH10" s="57" t="inlineStr">
        <is>
          <t>N2</t>
        </is>
      </c>
      <c r="AI10" s="25" t="inlineStr">
        <is>
          <t>O1</t>
        </is>
      </c>
      <c r="AJ10" s="25" t="n"/>
      <c r="AL10" s="56">
        <f>COUNTIF($F10:$AJ10,"ST*")</f>
        <v/>
      </c>
      <c r="AM10" s="56">
        <f>COUNTIF($F10:$AJ10,"M*")</f>
        <v/>
      </c>
      <c r="AN10" s="56">
        <f>COUNTIF($F10:$AJ10,"A*")</f>
        <v/>
      </c>
      <c r="AO10" s="56">
        <f>COUNTIF($F10:$AJ10,"N*")</f>
        <v/>
      </c>
      <c r="AP10" s="56">
        <f>COUNTIF($F10:$AJ10,"O*")</f>
        <v/>
      </c>
    </row>
    <row r="11" ht="18.75" customHeight="1" s="6">
      <c r="B11" s="37" t="n">
        <v>7</v>
      </c>
      <c r="C11" s="92" t="inlineStr">
        <is>
          <t>Marhoon Al Kiyumi - 82545</t>
        </is>
      </c>
      <c r="D11" s="134" t="n"/>
      <c r="F11" s="57" t="inlineStr">
        <is>
          <t>M2</t>
        </is>
      </c>
      <c r="G11" s="57" t="inlineStr">
        <is>
          <t>A1</t>
        </is>
      </c>
      <c r="H11" s="57" t="inlineStr">
        <is>
          <t>N1</t>
        </is>
      </c>
      <c r="I11" s="57" t="inlineStr">
        <is>
          <t>N2</t>
        </is>
      </c>
      <c r="J11" s="57" t="inlineStr">
        <is>
          <t>O1</t>
        </is>
      </c>
      <c r="K11" s="57" t="inlineStr">
        <is>
          <t>O2</t>
        </is>
      </c>
      <c r="L11" s="57" t="inlineStr">
        <is>
          <t>O3</t>
        </is>
      </c>
      <c r="M11" s="57" t="inlineStr">
        <is>
          <t>M1</t>
        </is>
      </c>
      <c r="N11" s="57" t="inlineStr">
        <is>
          <t>A1</t>
        </is>
      </c>
      <c r="O11" s="57" t="inlineStr">
        <is>
          <t>A2</t>
        </is>
      </c>
      <c r="P11" s="57" t="inlineStr">
        <is>
          <t>N1</t>
        </is>
      </c>
      <c r="Q11" s="57" t="inlineStr">
        <is>
          <t>N2</t>
        </is>
      </c>
      <c r="R11" s="57" t="inlineStr">
        <is>
          <t>O1</t>
        </is>
      </c>
      <c r="S11" s="57" t="inlineStr">
        <is>
          <t>O2</t>
        </is>
      </c>
      <c r="T11" s="57" t="inlineStr">
        <is>
          <t>O3</t>
        </is>
      </c>
      <c r="U11" s="57" t="inlineStr">
        <is>
          <t>STM1</t>
        </is>
      </c>
      <c r="V11" s="57" t="inlineStr">
        <is>
          <t>M2</t>
        </is>
      </c>
      <c r="W11" s="57" t="inlineStr">
        <is>
          <t>A1</t>
        </is>
      </c>
      <c r="X11" s="57" t="inlineStr">
        <is>
          <t>N1</t>
        </is>
      </c>
      <c r="Y11" s="57" t="inlineStr">
        <is>
          <t>N2</t>
        </is>
      </c>
      <c r="Z11" s="57" t="inlineStr">
        <is>
          <t>O1</t>
        </is>
      </c>
      <c r="AA11" s="57" t="inlineStr">
        <is>
          <t>O2</t>
        </is>
      </c>
      <c r="AB11" s="57" t="inlineStr">
        <is>
          <t>O3</t>
        </is>
      </c>
      <c r="AC11" s="57" t="inlineStr">
        <is>
          <t>M1</t>
        </is>
      </c>
      <c r="AD11" s="57" t="inlineStr">
        <is>
          <t>M2</t>
        </is>
      </c>
      <c r="AE11" s="57" t="inlineStr">
        <is>
          <t>A1</t>
        </is>
      </c>
      <c r="AF11" s="57" t="inlineStr">
        <is>
          <t>N1</t>
        </is>
      </c>
      <c r="AG11" s="57" t="inlineStr">
        <is>
          <t>N2</t>
        </is>
      </c>
      <c r="AH11" s="57" t="inlineStr">
        <is>
          <t>O1</t>
        </is>
      </c>
      <c r="AI11" s="25" t="inlineStr">
        <is>
          <t>O2</t>
        </is>
      </c>
      <c r="AJ11" s="24" t="n"/>
      <c r="AL11" s="56">
        <f>COUNTIF($F11:$AJ11,"ST*")</f>
        <v/>
      </c>
      <c r="AM11" s="56">
        <f>COUNTIF($F11:$AJ11,"M*")</f>
        <v/>
      </c>
      <c r="AN11" s="56">
        <f>COUNTIF($F11:$AJ11,"A*")</f>
        <v/>
      </c>
      <c r="AO11" s="56">
        <f>COUNTIF($F11:$AJ11,"N*")</f>
        <v/>
      </c>
      <c r="AP11" s="56">
        <f>COUNTIF($F11:$AJ11,"O*")</f>
        <v/>
      </c>
    </row>
    <row r="12" ht="18.75" customHeight="1" s="6">
      <c r="B12" s="37" t="n">
        <v>8</v>
      </c>
      <c r="C12" s="92" t="inlineStr">
        <is>
          <t>Khalil Al Hinai - 82671</t>
        </is>
      </c>
      <c r="D12" s="134" t="n"/>
      <c r="F12" s="57" t="inlineStr">
        <is>
          <t>A1</t>
        </is>
      </c>
      <c r="G12" s="57" t="inlineStr">
        <is>
          <t>N1</t>
        </is>
      </c>
      <c r="H12" s="57" t="inlineStr">
        <is>
          <t>N2</t>
        </is>
      </c>
      <c r="I12" s="60" t="inlineStr">
        <is>
          <t>O1</t>
        </is>
      </c>
      <c r="J12" s="57" t="inlineStr">
        <is>
          <t>O2</t>
        </is>
      </c>
      <c r="K12" s="57" t="inlineStr">
        <is>
          <t>O3</t>
        </is>
      </c>
      <c r="L12" s="57" t="inlineStr">
        <is>
          <t>M1</t>
        </is>
      </c>
      <c r="M12" s="57" t="inlineStr">
        <is>
          <t>A1</t>
        </is>
      </c>
      <c r="N12" s="57" t="inlineStr">
        <is>
          <t>A2</t>
        </is>
      </c>
      <c r="O12" s="57" t="inlineStr">
        <is>
          <t>N1</t>
        </is>
      </c>
      <c r="P12" s="57" t="inlineStr">
        <is>
          <t>N2</t>
        </is>
      </c>
      <c r="Q12" s="57" t="inlineStr">
        <is>
          <t>O1</t>
        </is>
      </c>
      <c r="R12" s="57" t="inlineStr">
        <is>
          <t>O2</t>
        </is>
      </c>
      <c r="S12" s="57" t="inlineStr">
        <is>
          <t>O3</t>
        </is>
      </c>
      <c r="T12" s="57" t="inlineStr">
        <is>
          <t>M1</t>
        </is>
      </c>
      <c r="U12" s="57" t="inlineStr">
        <is>
          <t>M2</t>
        </is>
      </c>
      <c r="V12" s="57" t="inlineStr">
        <is>
          <t>A1</t>
        </is>
      </c>
      <c r="W12" s="57" t="inlineStr">
        <is>
          <t>N1</t>
        </is>
      </c>
      <c r="X12" s="57" t="inlineStr">
        <is>
          <t>N2</t>
        </is>
      </c>
      <c r="Y12" s="57" t="inlineStr">
        <is>
          <t>O1</t>
        </is>
      </c>
      <c r="Z12" s="57" t="inlineStr">
        <is>
          <t>O2</t>
        </is>
      </c>
      <c r="AA12" s="57" t="inlineStr">
        <is>
          <t>O3</t>
        </is>
      </c>
      <c r="AB12" s="63" t="n"/>
      <c r="AC12" s="63" t="n"/>
      <c r="AD12" s="63" t="n"/>
      <c r="AE12" s="63" t="n"/>
      <c r="AF12" s="63" t="n"/>
      <c r="AG12" s="63" t="n"/>
      <c r="AH12" s="63" t="n"/>
      <c r="AI12" s="64" t="n"/>
      <c r="AJ12" s="25" t="n"/>
      <c r="AL12" s="56">
        <f>COUNTIF($F12:$AJ12,"ST*")</f>
        <v/>
      </c>
      <c r="AM12" s="56">
        <f>COUNTIF($F12:$AJ12,"M*")</f>
        <v/>
      </c>
      <c r="AN12" s="56">
        <f>COUNTIF($F12:$AJ12,"A*")</f>
        <v/>
      </c>
      <c r="AO12" s="56">
        <f>COUNTIF($F12:$AJ12,"N*")</f>
        <v/>
      </c>
      <c r="AP12" s="56">
        <f>COUNTIF($F12:$AJ12,"O*")</f>
        <v/>
      </c>
    </row>
    <row r="13" ht="18.75" customHeight="1" s="6">
      <c r="B13" s="37" t="n">
        <v>9</v>
      </c>
      <c r="C13" s="92" t="inlineStr">
        <is>
          <t>Rashid Al Farsi - 82615</t>
        </is>
      </c>
      <c r="D13" s="134" t="n"/>
      <c r="F13" s="57" t="inlineStr">
        <is>
          <t>N1</t>
        </is>
      </c>
      <c r="G13" s="57" t="inlineStr">
        <is>
          <t>N2</t>
        </is>
      </c>
      <c r="H13" s="57" t="inlineStr">
        <is>
          <t>O1</t>
        </is>
      </c>
      <c r="I13" s="57" t="inlineStr">
        <is>
          <t>O2</t>
        </is>
      </c>
      <c r="J13" s="57" t="inlineStr">
        <is>
          <t>O3</t>
        </is>
      </c>
      <c r="K13" s="57" t="inlineStr">
        <is>
          <t>M1</t>
        </is>
      </c>
      <c r="L13" s="57" t="inlineStr">
        <is>
          <t>M2</t>
        </is>
      </c>
      <c r="M13" s="57" t="inlineStr">
        <is>
          <t>A1</t>
        </is>
      </c>
      <c r="N13" s="57" t="inlineStr">
        <is>
          <t>N1</t>
        </is>
      </c>
      <c r="O13" s="57" t="inlineStr">
        <is>
          <t>N2</t>
        </is>
      </c>
      <c r="P13" s="57" t="inlineStr">
        <is>
          <t>O1</t>
        </is>
      </c>
      <c r="Q13" s="57" t="inlineStr">
        <is>
          <t>O2</t>
        </is>
      </c>
      <c r="R13" s="57" t="inlineStr">
        <is>
          <t>O3</t>
        </is>
      </c>
      <c r="S13" s="57" t="inlineStr">
        <is>
          <t>M1</t>
        </is>
      </c>
      <c r="T13" s="57" t="inlineStr">
        <is>
          <t>A1</t>
        </is>
      </c>
      <c r="U13" s="57" t="inlineStr">
        <is>
          <t>TR</t>
        </is>
      </c>
      <c r="V13" s="57" t="inlineStr">
        <is>
          <t>TR</t>
        </is>
      </c>
      <c r="W13" s="57" t="inlineStr">
        <is>
          <t>TR</t>
        </is>
      </c>
      <c r="X13" s="57" t="inlineStr">
        <is>
          <t>O1</t>
        </is>
      </c>
      <c r="Y13" s="57" t="inlineStr">
        <is>
          <t>O2</t>
        </is>
      </c>
      <c r="Z13" s="57" t="inlineStr">
        <is>
          <t>O3</t>
        </is>
      </c>
      <c r="AA13" s="63" t="n"/>
      <c r="AB13" s="63" t="n"/>
      <c r="AC13" s="63" t="n"/>
      <c r="AD13" s="63" t="n"/>
      <c r="AE13" s="63" t="n"/>
      <c r="AF13" s="63" t="n"/>
      <c r="AG13" s="63" t="n"/>
      <c r="AH13" s="63" t="n"/>
      <c r="AI13" s="25" t="inlineStr">
        <is>
          <t>M1</t>
        </is>
      </c>
      <c r="AJ13" s="25" t="n"/>
      <c r="AL13" s="56">
        <f>COUNTIF($F13:$AJ13,"ST*")</f>
        <v/>
      </c>
      <c r="AM13" s="56">
        <f>COUNTIF($F13:$AJ13,"M*")</f>
        <v/>
      </c>
      <c r="AN13" s="56">
        <f>COUNTIF($F13:$AJ13,"A*")</f>
        <v/>
      </c>
      <c r="AO13" s="56">
        <f>COUNTIF($F13:$AJ13,"N*")</f>
        <v/>
      </c>
      <c r="AP13" s="56">
        <f>COUNTIF($F13:$AJ13,"O*")</f>
        <v/>
      </c>
    </row>
    <row r="14" ht="18.75" customHeight="1" s="6">
      <c r="B14" s="37" t="n">
        <v>10</v>
      </c>
      <c r="C14" s="92" t="inlineStr">
        <is>
          <t>Dawood Al Siyabi - 82672</t>
        </is>
      </c>
      <c r="D14" s="134" t="n"/>
      <c r="F14" s="57" t="inlineStr">
        <is>
          <t>N2</t>
        </is>
      </c>
      <c r="G14" s="57" t="inlineStr">
        <is>
          <t>O1</t>
        </is>
      </c>
      <c r="H14" s="57" t="inlineStr">
        <is>
          <t>O2</t>
        </is>
      </c>
      <c r="I14" s="57" t="inlineStr">
        <is>
          <t>O3</t>
        </is>
      </c>
      <c r="J14" s="57" t="inlineStr">
        <is>
          <t>M1</t>
        </is>
      </c>
      <c r="K14" s="57" t="inlineStr">
        <is>
          <t>A1</t>
        </is>
      </c>
      <c r="L14" s="57" t="inlineStr">
        <is>
          <t>A2</t>
        </is>
      </c>
      <c r="M14" s="57" t="inlineStr">
        <is>
          <t>STN1</t>
        </is>
      </c>
      <c r="N14" s="57" t="inlineStr">
        <is>
          <t>N2</t>
        </is>
      </c>
      <c r="O14" s="57" t="inlineStr">
        <is>
          <t>O1</t>
        </is>
      </c>
      <c r="P14" s="57" t="inlineStr">
        <is>
          <t>O2</t>
        </is>
      </c>
      <c r="Q14" s="57" t="inlineStr">
        <is>
          <t>O3</t>
        </is>
      </c>
      <c r="R14" s="57" t="inlineStr">
        <is>
          <t>M1</t>
        </is>
      </c>
      <c r="S14" s="57" t="inlineStr">
        <is>
          <t>STA1</t>
        </is>
      </c>
      <c r="T14" s="57" t="inlineStr">
        <is>
          <t>A2</t>
        </is>
      </c>
      <c r="U14" s="57" t="inlineStr">
        <is>
          <t>N1</t>
        </is>
      </c>
      <c r="V14" s="57" t="inlineStr">
        <is>
          <t>N2</t>
        </is>
      </c>
      <c r="W14" s="57" t="inlineStr">
        <is>
          <t>O1</t>
        </is>
      </c>
      <c r="X14" s="57" t="inlineStr">
        <is>
          <t>O2</t>
        </is>
      </c>
      <c r="Y14" s="57" t="inlineStr">
        <is>
          <t>O3</t>
        </is>
      </c>
      <c r="Z14" s="57" t="inlineStr">
        <is>
          <t>M1</t>
        </is>
      </c>
      <c r="AA14" s="57" t="inlineStr">
        <is>
          <t>M1</t>
        </is>
      </c>
      <c r="AB14" s="57" t="inlineStr">
        <is>
          <t>A1</t>
        </is>
      </c>
      <c r="AC14" s="57" t="inlineStr">
        <is>
          <t>STN1</t>
        </is>
      </c>
      <c r="AD14" s="57" t="inlineStr">
        <is>
          <t>N2</t>
        </is>
      </c>
      <c r="AE14" s="57" t="inlineStr">
        <is>
          <t>O1</t>
        </is>
      </c>
      <c r="AF14" s="57" t="inlineStr">
        <is>
          <t>O2</t>
        </is>
      </c>
      <c r="AG14" s="57" t="inlineStr">
        <is>
          <t>O3</t>
        </is>
      </c>
      <c r="AH14" s="57" t="inlineStr">
        <is>
          <t>M1</t>
        </is>
      </c>
      <c r="AI14" s="25" t="inlineStr">
        <is>
          <t>A1</t>
        </is>
      </c>
      <c r="AJ14" s="24" t="n"/>
      <c r="AL14" s="56">
        <f>COUNTIF($F14:$AJ14,"ST*")</f>
        <v/>
      </c>
      <c r="AM14" s="56">
        <f>COUNTIF($F14:$AJ14,"M*")</f>
        <v/>
      </c>
      <c r="AN14" s="56">
        <f>COUNTIF($F14:$AJ14,"A*")</f>
        <v/>
      </c>
      <c r="AO14" s="56">
        <f>COUNTIF($F14:$AJ14,"N*")</f>
        <v/>
      </c>
      <c r="AP14" s="56">
        <f>COUNTIF($F14:$AJ14,"O*")</f>
        <v/>
      </c>
    </row>
    <row r="15" ht="18.75" customHeight="1" s="6">
      <c r="B15" s="37" t="n">
        <v>11</v>
      </c>
      <c r="C15" s="92" t="inlineStr">
        <is>
          <t>Fahim Al Hashni - 8930</t>
        </is>
      </c>
      <c r="D15" s="134" t="n"/>
      <c r="F15" s="57" t="inlineStr">
        <is>
          <t>O1</t>
        </is>
      </c>
      <c r="G15" s="57" t="inlineStr">
        <is>
          <t>O2</t>
        </is>
      </c>
      <c r="H15" s="57" t="inlineStr">
        <is>
          <t>O3</t>
        </is>
      </c>
      <c r="I15" s="57" t="inlineStr">
        <is>
          <t>M1</t>
        </is>
      </c>
      <c r="J15" s="57" t="inlineStr">
        <is>
          <t>A1</t>
        </is>
      </c>
      <c r="K15" s="57" t="inlineStr">
        <is>
          <t>TR</t>
        </is>
      </c>
      <c r="L15" s="57" t="inlineStr">
        <is>
          <t>STN1</t>
        </is>
      </c>
      <c r="M15" s="57" t="inlineStr">
        <is>
          <t>N2</t>
        </is>
      </c>
      <c r="N15" s="57" t="inlineStr">
        <is>
          <t>O1</t>
        </is>
      </c>
      <c r="O15" s="57" t="inlineStr">
        <is>
          <t>O2</t>
        </is>
      </c>
      <c r="P15" s="57" t="inlineStr">
        <is>
          <t>O3</t>
        </is>
      </c>
      <c r="Q15" s="57" t="inlineStr">
        <is>
          <t>M1</t>
        </is>
      </c>
      <c r="R15" s="57" t="inlineStr">
        <is>
          <t>A1</t>
        </is>
      </c>
      <c r="S15" s="57" t="inlineStr">
        <is>
          <t>N1</t>
        </is>
      </c>
      <c r="T15" s="57" t="inlineStr">
        <is>
          <t>N2</t>
        </is>
      </c>
      <c r="U15" s="57" t="inlineStr">
        <is>
          <t>N3</t>
        </is>
      </c>
      <c r="V15" s="57" t="inlineStr">
        <is>
          <t>O1</t>
        </is>
      </c>
      <c r="W15" s="57" t="inlineStr">
        <is>
          <t>O2</t>
        </is>
      </c>
      <c r="X15" s="57" t="inlineStr">
        <is>
          <t>O3</t>
        </is>
      </c>
      <c r="Y15" s="57" t="inlineStr">
        <is>
          <t>M1</t>
        </is>
      </c>
      <c r="Z15" s="57" t="inlineStr">
        <is>
          <t>A1</t>
        </is>
      </c>
      <c r="AA15" s="57" t="inlineStr">
        <is>
          <t>A2</t>
        </is>
      </c>
      <c r="AB15" s="57" t="inlineStr">
        <is>
          <t>N1</t>
        </is>
      </c>
      <c r="AC15" s="57" t="inlineStr">
        <is>
          <t>N2</t>
        </is>
      </c>
      <c r="AD15" s="57" t="inlineStr">
        <is>
          <t>O1</t>
        </is>
      </c>
      <c r="AE15" s="57" t="inlineStr">
        <is>
          <t>O2</t>
        </is>
      </c>
      <c r="AF15" s="57" t="inlineStr">
        <is>
          <t>O3</t>
        </is>
      </c>
      <c r="AG15" s="57" t="inlineStr">
        <is>
          <t>M1</t>
        </is>
      </c>
      <c r="AH15" s="57" t="inlineStr">
        <is>
          <t>A1</t>
        </is>
      </c>
      <c r="AI15" s="25" t="inlineStr">
        <is>
          <t>TR</t>
        </is>
      </c>
      <c r="AJ15" s="25" t="n"/>
      <c r="AL15" s="56">
        <f>COUNTIF($F15:$AJ15,"ST*")</f>
        <v/>
      </c>
      <c r="AM15" s="56">
        <f>COUNTIF($F15:$AJ15,"M*")</f>
        <v/>
      </c>
      <c r="AN15" s="56">
        <f>COUNTIF($F15:$AJ15,"A*")</f>
        <v/>
      </c>
      <c r="AO15" s="56">
        <f>COUNTIF($F15:$AJ15,"N*")</f>
        <v/>
      </c>
      <c r="AP15" s="56">
        <f>COUNTIF($F15:$AJ15,"O*")</f>
        <v/>
      </c>
    </row>
    <row r="16" ht="18.75" customHeight="1" s="6">
      <c r="B16" s="37" t="n">
        <v>12</v>
      </c>
      <c r="C16" s="92" t="inlineStr">
        <is>
          <t>Ahmed Al Mawali - 82283</t>
        </is>
      </c>
      <c r="D16" s="134" t="n"/>
      <c r="F16" s="57" t="inlineStr">
        <is>
          <t>O2</t>
        </is>
      </c>
      <c r="G16" s="57" t="inlineStr">
        <is>
          <t>O3</t>
        </is>
      </c>
      <c r="H16" s="57" t="inlineStr">
        <is>
          <t>M1</t>
        </is>
      </c>
      <c r="I16" s="57" t="inlineStr">
        <is>
          <t>A1</t>
        </is>
      </c>
      <c r="J16" s="57" t="inlineStr">
        <is>
          <t>N1</t>
        </is>
      </c>
      <c r="K16" s="57" t="inlineStr">
        <is>
          <t>N2</t>
        </is>
      </c>
      <c r="L16" s="57" t="inlineStr">
        <is>
          <t>N3</t>
        </is>
      </c>
      <c r="M16" s="57" t="inlineStr">
        <is>
          <t>O1</t>
        </is>
      </c>
      <c r="N16" s="57" t="inlineStr">
        <is>
          <t>O2</t>
        </is>
      </c>
      <c r="O16" s="57" t="inlineStr">
        <is>
          <t>O3</t>
        </is>
      </c>
      <c r="P16" s="57" t="inlineStr">
        <is>
          <t>M1</t>
        </is>
      </c>
      <c r="Q16" s="57" t="inlineStr">
        <is>
          <t>TR</t>
        </is>
      </c>
      <c r="R16" s="57" t="inlineStr">
        <is>
          <t>A2</t>
        </is>
      </c>
      <c r="S16" s="57" t="inlineStr">
        <is>
          <t>N1</t>
        </is>
      </c>
      <c r="T16" s="57" t="inlineStr">
        <is>
          <t>N2</t>
        </is>
      </c>
      <c r="U16" s="57" t="inlineStr">
        <is>
          <t>O1</t>
        </is>
      </c>
      <c r="V16" s="57" t="inlineStr">
        <is>
          <t>O2</t>
        </is>
      </c>
      <c r="W16" s="57" t="inlineStr">
        <is>
          <t>O3</t>
        </is>
      </c>
      <c r="X16" s="57" t="inlineStr">
        <is>
          <t>M1</t>
        </is>
      </c>
      <c r="Y16" s="57" t="inlineStr">
        <is>
          <t>A1</t>
        </is>
      </c>
      <c r="Z16" s="57" t="inlineStr">
        <is>
          <t>A2</t>
        </is>
      </c>
      <c r="AA16" s="57" t="inlineStr">
        <is>
          <t>N1</t>
        </is>
      </c>
      <c r="AB16" s="57" t="inlineStr">
        <is>
          <t>N2</t>
        </is>
      </c>
      <c r="AC16" s="57" t="inlineStr">
        <is>
          <t>O1</t>
        </is>
      </c>
      <c r="AD16" s="57" t="inlineStr">
        <is>
          <t>O2</t>
        </is>
      </c>
      <c r="AE16" s="57" t="inlineStr">
        <is>
          <t>O3</t>
        </is>
      </c>
      <c r="AF16" s="57" t="inlineStr">
        <is>
          <t>M1</t>
        </is>
      </c>
      <c r="AG16" s="57" t="inlineStr">
        <is>
          <t>A1</t>
        </is>
      </c>
      <c r="AH16" s="57" t="inlineStr">
        <is>
          <t>N1</t>
        </is>
      </c>
      <c r="AI16" s="25" t="inlineStr">
        <is>
          <t>N2</t>
        </is>
      </c>
      <c r="AJ16" s="25" t="n"/>
      <c r="AL16" s="56">
        <f>COUNTIF($F16:$AJ16,"ST*")</f>
        <v/>
      </c>
      <c r="AM16" s="56">
        <f>COUNTIF($F16:$AJ16,"M*")</f>
        <v/>
      </c>
      <c r="AN16" s="56">
        <f>COUNTIF($F16:$AJ16,"A*")</f>
        <v/>
      </c>
      <c r="AO16" s="56">
        <f>COUNTIF($F16:$AJ16,"N*")</f>
        <v/>
      </c>
      <c r="AP16" s="56">
        <f>COUNTIF($F16:$AJ16,"O*")</f>
        <v/>
      </c>
    </row>
    <row r="17" ht="18.75" customHeight="1" s="6">
      <c r="B17" s="37" t="n">
        <v>13</v>
      </c>
      <c r="C17" s="92" t="inlineStr">
        <is>
          <t>Yousuf Al Balushi - 82587</t>
        </is>
      </c>
      <c r="D17" s="134" t="n"/>
      <c r="F17" s="57" t="inlineStr">
        <is>
          <t>O3</t>
        </is>
      </c>
      <c r="G17" s="57" t="inlineStr">
        <is>
          <t>M1</t>
        </is>
      </c>
      <c r="H17" s="57" t="inlineStr">
        <is>
          <t>A1</t>
        </is>
      </c>
      <c r="I17" s="57" t="inlineStr">
        <is>
          <t>N1</t>
        </is>
      </c>
      <c r="J17" s="57" t="inlineStr">
        <is>
          <t>N2</t>
        </is>
      </c>
      <c r="K17" s="57" t="inlineStr">
        <is>
          <t>N3</t>
        </is>
      </c>
      <c r="L17" s="57" t="inlineStr">
        <is>
          <t>O1</t>
        </is>
      </c>
      <c r="M17" s="57" t="inlineStr">
        <is>
          <t>O2</t>
        </is>
      </c>
      <c r="N17" s="57" t="inlineStr">
        <is>
          <t>O3</t>
        </is>
      </c>
      <c r="O17" s="57" t="inlineStr">
        <is>
          <t>M1</t>
        </is>
      </c>
      <c r="P17" s="57" t="inlineStr">
        <is>
          <t>M2</t>
        </is>
      </c>
      <c r="Q17" s="57" t="inlineStr">
        <is>
          <t>A1</t>
        </is>
      </c>
      <c r="R17" s="57" t="inlineStr">
        <is>
          <t>N1</t>
        </is>
      </c>
      <c r="S17" s="57" t="inlineStr">
        <is>
          <t>N2</t>
        </is>
      </c>
      <c r="T17" s="57" t="inlineStr">
        <is>
          <t>O1</t>
        </is>
      </c>
      <c r="U17" s="57" t="inlineStr">
        <is>
          <t>O2</t>
        </is>
      </c>
      <c r="V17" s="57" t="inlineStr">
        <is>
          <t>O3</t>
        </is>
      </c>
      <c r="W17" s="57" t="inlineStr">
        <is>
          <t>M1</t>
        </is>
      </c>
      <c r="X17" s="57" t="inlineStr">
        <is>
          <t>M2</t>
        </is>
      </c>
      <c r="Y17" s="57" t="inlineStr">
        <is>
          <t>A1</t>
        </is>
      </c>
      <c r="Z17" s="57" t="inlineStr">
        <is>
          <t>N1</t>
        </is>
      </c>
      <c r="AA17" s="57" t="inlineStr">
        <is>
          <t>N2</t>
        </is>
      </c>
      <c r="AB17" s="57" t="inlineStr">
        <is>
          <t>O1</t>
        </is>
      </c>
      <c r="AC17" s="57" t="inlineStr">
        <is>
          <t>O2</t>
        </is>
      </c>
      <c r="AD17" s="57" t="inlineStr">
        <is>
          <t>O3</t>
        </is>
      </c>
      <c r="AE17" s="57" t="inlineStr">
        <is>
          <t>M1</t>
        </is>
      </c>
      <c r="AF17" s="57" t="inlineStr">
        <is>
          <t>M2</t>
        </is>
      </c>
      <c r="AG17" s="57" t="inlineStr">
        <is>
          <t>A1</t>
        </is>
      </c>
      <c r="AH17" s="57" t="inlineStr">
        <is>
          <t>N1</t>
        </is>
      </c>
      <c r="AI17" s="25" t="inlineStr">
        <is>
          <t>N2</t>
        </is>
      </c>
      <c r="AJ17" s="24" t="n"/>
      <c r="AL17" s="56">
        <f>COUNTIF($F17:$AJ17,"ST*")</f>
        <v/>
      </c>
      <c r="AM17" s="56">
        <f>COUNTIF($F17:$AJ17,"M*")</f>
        <v/>
      </c>
      <c r="AN17" s="56">
        <f>COUNTIF($F17:$AJ17,"A*")</f>
        <v/>
      </c>
      <c r="AO17" s="56">
        <f>COUNTIF($F17:$AJ17,"N*")</f>
        <v/>
      </c>
      <c r="AP17" s="56">
        <f>COUNTIF($F17:$AJ17,"O*")</f>
        <v/>
      </c>
    </row>
    <row r="18" ht="18.75" customHeight="1" s="6">
      <c r="B18" s="37" t="n">
        <v>14</v>
      </c>
      <c r="C18" s="92" t="inlineStr">
        <is>
          <t>Marlon Esmilla - 80270</t>
        </is>
      </c>
      <c r="D18" s="134" t="n"/>
      <c r="F18" s="57" t="inlineStr">
        <is>
          <t>M1</t>
        </is>
      </c>
      <c r="G18" s="57" t="inlineStr">
        <is>
          <t>M2</t>
        </is>
      </c>
      <c r="H18" s="57" t="inlineStr">
        <is>
          <t>A1</t>
        </is>
      </c>
      <c r="I18" s="57" t="inlineStr">
        <is>
          <t>N1</t>
        </is>
      </c>
      <c r="J18" s="57" t="inlineStr">
        <is>
          <t>N2</t>
        </is>
      </c>
      <c r="K18" s="57" t="inlineStr">
        <is>
          <t>O1</t>
        </is>
      </c>
      <c r="L18" s="57" t="inlineStr">
        <is>
          <t>O2</t>
        </is>
      </c>
      <c r="M18" s="57" t="inlineStr">
        <is>
          <t>O3</t>
        </is>
      </c>
      <c r="N18" s="57" t="inlineStr">
        <is>
          <t>M1</t>
        </is>
      </c>
      <c r="O18" s="57" t="inlineStr">
        <is>
          <t>M2</t>
        </is>
      </c>
      <c r="P18" s="57" t="inlineStr">
        <is>
          <t>A1</t>
        </is>
      </c>
      <c r="Q18" s="57" t="inlineStr">
        <is>
          <t>N1</t>
        </is>
      </c>
      <c r="R18" s="57" t="inlineStr">
        <is>
          <t>N2</t>
        </is>
      </c>
      <c r="S18" s="57" t="inlineStr">
        <is>
          <t>O1</t>
        </is>
      </c>
      <c r="T18" s="57" t="inlineStr">
        <is>
          <t>O2</t>
        </is>
      </c>
      <c r="U18" s="57" t="inlineStr">
        <is>
          <t>O3</t>
        </is>
      </c>
      <c r="V18" s="57" t="inlineStr">
        <is>
          <t>M1</t>
        </is>
      </c>
      <c r="W18" s="57" t="inlineStr">
        <is>
          <t>M2</t>
        </is>
      </c>
      <c r="X18" s="57" t="inlineStr">
        <is>
          <t>A1</t>
        </is>
      </c>
      <c r="Y18" s="57" t="inlineStr">
        <is>
          <t>N1</t>
        </is>
      </c>
      <c r="Z18" s="57" t="inlineStr">
        <is>
          <t>N2</t>
        </is>
      </c>
      <c r="AA18" s="57" t="inlineStr">
        <is>
          <t>O1</t>
        </is>
      </c>
      <c r="AB18" s="57" t="inlineStr">
        <is>
          <t>O2</t>
        </is>
      </c>
      <c r="AC18" s="57" t="inlineStr">
        <is>
          <t>O3</t>
        </is>
      </c>
      <c r="AD18" s="57" t="inlineStr">
        <is>
          <t>M1</t>
        </is>
      </c>
      <c r="AE18" s="57" t="inlineStr">
        <is>
          <t>M2</t>
        </is>
      </c>
      <c r="AF18" s="57" t="inlineStr">
        <is>
          <t>A1</t>
        </is>
      </c>
      <c r="AG18" s="57" t="inlineStr">
        <is>
          <t>N1</t>
        </is>
      </c>
      <c r="AH18" s="57" t="inlineStr">
        <is>
          <t>N2</t>
        </is>
      </c>
      <c r="AI18" s="25" t="inlineStr">
        <is>
          <t>O1</t>
        </is>
      </c>
      <c r="AJ18" s="25" t="n"/>
      <c r="AL18" s="56">
        <f>COUNTIF($F18:$AJ18,"ST*")</f>
        <v/>
      </c>
      <c r="AM18" s="56">
        <f>COUNTIF($F18:$AJ18,"M*")</f>
        <v/>
      </c>
      <c r="AN18" s="56">
        <f>COUNTIF($F18:$AJ18,"A*")</f>
        <v/>
      </c>
      <c r="AO18" s="56">
        <f>COUNTIF($F18:$AJ18,"N*")</f>
        <v/>
      </c>
      <c r="AP18" s="56">
        <f>COUNTIF($F18:$AJ18,"O*")</f>
        <v/>
      </c>
    </row>
    <row r="19" ht="18.75" customHeight="1" s="6">
      <c r="B19" s="37" t="n">
        <v>15</v>
      </c>
      <c r="C19" s="92" t="inlineStr">
        <is>
          <t>Ali Yousuf Al Balushi - 990752</t>
        </is>
      </c>
      <c r="D19" s="134" t="n"/>
      <c r="F19" s="57" t="inlineStr">
        <is>
          <t>M1</t>
        </is>
      </c>
      <c r="G19" s="57" t="inlineStr">
        <is>
          <t>A1</t>
        </is>
      </c>
      <c r="H19" s="57" t="inlineStr">
        <is>
          <t>N1</t>
        </is>
      </c>
      <c r="I19" s="57" t="inlineStr">
        <is>
          <t>O1</t>
        </is>
      </c>
      <c r="J19" s="57" t="inlineStr">
        <is>
          <t>TR</t>
        </is>
      </c>
      <c r="K19" s="57" t="inlineStr">
        <is>
          <t>O2</t>
        </is>
      </c>
      <c r="L19" s="57" t="inlineStr">
        <is>
          <t>O3</t>
        </is>
      </c>
      <c r="M19" s="57" t="inlineStr">
        <is>
          <t>M1</t>
        </is>
      </c>
      <c r="N19" s="57" t="inlineStr">
        <is>
          <t>M2</t>
        </is>
      </c>
      <c r="O19" s="57" t="inlineStr">
        <is>
          <t>A1</t>
        </is>
      </c>
      <c r="P19" s="57" t="inlineStr">
        <is>
          <t>N1</t>
        </is>
      </c>
      <c r="Q19" s="57" t="inlineStr">
        <is>
          <t>N2</t>
        </is>
      </c>
      <c r="R19" s="57" t="inlineStr">
        <is>
          <t>O1</t>
        </is>
      </c>
      <c r="S19" s="57" t="inlineStr">
        <is>
          <t>O2</t>
        </is>
      </c>
      <c r="T19" s="57" t="inlineStr">
        <is>
          <t>O3</t>
        </is>
      </c>
      <c r="U19" s="57" t="inlineStr">
        <is>
          <t>M1</t>
        </is>
      </c>
      <c r="V19" s="57" t="inlineStr">
        <is>
          <t>M2</t>
        </is>
      </c>
      <c r="W19" s="57" t="inlineStr">
        <is>
          <t>A1</t>
        </is>
      </c>
      <c r="X19" s="57" t="inlineStr">
        <is>
          <t>N1</t>
        </is>
      </c>
      <c r="Y19" s="57" t="inlineStr">
        <is>
          <t>N2</t>
        </is>
      </c>
      <c r="Z19" s="57" t="inlineStr">
        <is>
          <t>O1</t>
        </is>
      </c>
      <c r="AA19" s="57" t="inlineStr">
        <is>
          <t>O2</t>
        </is>
      </c>
      <c r="AB19" s="57" t="inlineStr">
        <is>
          <t>O3</t>
        </is>
      </c>
      <c r="AC19" s="57" t="inlineStr">
        <is>
          <t>M1</t>
        </is>
      </c>
      <c r="AD19" s="57" t="inlineStr">
        <is>
          <t>A1</t>
        </is>
      </c>
      <c r="AE19" s="57" t="inlineStr">
        <is>
          <t>A2</t>
        </is>
      </c>
      <c r="AF19" s="57" t="inlineStr">
        <is>
          <t>N1</t>
        </is>
      </c>
      <c r="AG19" s="57" t="inlineStr">
        <is>
          <t>N2</t>
        </is>
      </c>
      <c r="AH19" s="57" t="inlineStr">
        <is>
          <t>O1</t>
        </is>
      </c>
      <c r="AI19" s="25" t="inlineStr">
        <is>
          <t>O2</t>
        </is>
      </c>
      <c r="AJ19" s="25" t="n"/>
      <c r="AL19" s="56">
        <f>COUNTIF($F19:$AJ19,"ST*")</f>
        <v/>
      </c>
      <c r="AM19" s="56">
        <f>COUNTIF($F19:$AJ19,"M*")</f>
        <v/>
      </c>
      <c r="AN19" s="56">
        <f>COUNTIF($F19:$AJ19,"A*")</f>
        <v/>
      </c>
      <c r="AO19" s="56">
        <f>COUNTIF($F19:$AJ19,"N*")</f>
        <v/>
      </c>
      <c r="AP19" s="56">
        <f>COUNTIF($F19:$AJ19,"O*")</f>
        <v/>
      </c>
    </row>
    <row r="20" ht="18.75" customHeight="1" s="6">
      <c r="B20" s="37" t="n">
        <v>16</v>
      </c>
      <c r="C20" s="92" t="inlineStr">
        <is>
          <t>Ali Al Farsi - 81393</t>
        </is>
      </c>
      <c r="D20" s="134" t="n"/>
      <c r="F20" s="57" t="inlineStr">
        <is>
          <t>A1</t>
        </is>
      </c>
      <c r="G20" s="57" t="inlineStr">
        <is>
          <t>N1</t>
        </is>
      </c>
      <c r="H20" s="57" t="inlineStr">
        <is>
          <t>N2</t>
        </is>
      </c>
      <c r="I20" s="57" t="inlineStr">
        <is>
          <t>O1</t>
        </is>
      </c>
      <c r="J20" s="57" t="inlineStr">
        <is>
          <t>O2</t>
        </is>
      </c>
      <c r="K20" s="57" t="inlineStr">
        <is>
          <t>O3</t>
        </is>
      </c>
      <c r="L20" s="63" t="n"/>
      <c r="M20" s="63" t="n"/>
      <c r="N20" s="63" t="n"/>
      <c r="O20" s="63" t="n"/>
      <c r="P20" s="63" t="n"/>
      <c r="Q20" s="63" t="n"/>
      <c r="R20" s="63" t="n"/>
      <c r="S20" s="63" t="n"/>
      <c r="T20" s="57" t="inlineStr">
        <is>
          <t>M1</t>
        </is>
      </c>
      <c r="U20" s="57" t="inlineStr">
        <is>
          <t>M2</t>
        </is>
      </c>
      <c r="V20" s="57" t="inlineStr">
        <is>
          <t>A1</t>
        </is>
      </c>
      <c r="W20" s="57" t="inlineStr">
        <is>
          <t>N1</t>
        </is>
      </c>
      <c r="X20" s="57" t="inlineStr">
        <is>
          <t>N2</t>
        </is>
      </c>
      <c r="Y20" s="57" t="inlineStr">
        <is>
          <t>O1</t>
        </is>
      </c>
      <c r="Z20" s="57" t="inlineStr">
        <is>
          <t>O2</t>
        </is>
      </c>
      <c r="AA20" s="57" t="inlineStr">
        <is>
          <t>O3</t>
        </is>
      </c>
      <c r="AB20" s="57" t="inlineStr">
        <is>
          <t>M1</t>
        </is>
      </c>
      <c r="AC20" s="57" t="inlineStr">
        <is>
          <t>A1</t>
        </is>
      </c>
      <c r="AD20" s="57" t="inlineStr">
        <is>
          <t>N1</t>
        </is>
      </c>
      <c r="AE20" s="57" t="inlineStr">
        <is>
          <t>N2</t>
        </is>
      </c>
      <c r="AF20" s="57" t="inlineStr">
        <is>
          <t>N3</t>
        </is>
      </c>
      <c r="AG20" s="57" t="inlineStr">
        <is>
          <t>O1</t>
        </is>
      </c>
      <c r="AH20" s="57" t="inlineStr">
        <is>
          <t>O2</t>
        </is>
      </c>
      <c r="AI20" s="25" t="inlineStr">
        <is>
          <t>O3</t>
        </is>
      </c>
      <c r="AJ20" s="24" t="n"/>
      <c r="AL20" s="56">
        <f>COUNTIF($F20:$AJ20,"ST*")</f>
        <v/>
      </c>
      <c r="AM20" s="56">
        <f>COUNTIF($F20:$AJ20,"M*")</f>
        <v/>
      </c>
      <c r="AN20" s="56">
        <f>COUNTIF($F20:$AJ20,"A*")</f>
        <v/>
      </c>
      <c r="AO20" s="56">
        <f>COUNTIF($F20:$AJ20,"N*")</f>
        <v/>
      </c>
      <c r="AP20" s="56">
        <f>COUNTIF($F20:$AJ20,"O*")</f>
        <v/>
      </c>
    </row>
    <row r="21" ht="18.75" customHeight="1" s="6">
      <c r="B21" s="37" t="n">
        <v>17</v>
      </c>
      <c r="C21" s="92" t="inlineStr">
        <is>
          <t>Waleed Al Hadabi - 80482</t>
        </is>
      </c>
      <c r="D21" s="134" t="n"/>
      <c r="F21" s="57" t="inlineStr">
        <is>
          <t>N1</t>
        </is>
      </c>
      <c r="G21" s="57" t="inlineStr">
        <is>
          <t>N2</t>
        </is>
      </c>
      <c r="H21" s="57" t="inlineStr">
        <is>
          <t>O1</t>
        </is>
      </c>
      <c r="I21" s="57" t="inlineStr">
        <is>
          <t>O2</t>
        </is>
      </c>
      <c r="J21" s="57" t="inlineStr">
        <is>
          <t>O3</t>
        </is>
      </c>
      <c r="K21" s="57" t="inlineStr">
        <is>
          <t>M1</t>
        </is>
      </c>
      <c r="L21" s="57" t="inlineStr">
        <is>
          <t>A1</t>
        </is>
      </c>
      <c r="M21" s="57" t="inlineStr">
        <is>
          <t>N1</t>
        </is>
      </c>
      <c r="N21" s="57" t="inlineStr">
        <is>
          <t>N2</t>
        </is>
      </c>
      <c r="O21" s="57" t="inlineStr">
        <is>
          <t>N3</t>
        </is>
      </c>
      <c r="P21" s="57" t="inlineStr">
        <is>
          <t>O1</t>
        </is>
      </c>
      <c r="Q21" s="57" t="inlineStr">
        <is>
          <t>O2</t>
        </is>
      </c>
      <c r="R21" s="57" t="inlineStr">
        <is>
          <t>O3</t>
        </is>
      </c>
      <c r="S21" s="57" t="inlineStr">
        <is>
          <t>M1</t>
        </is>
      </c>
      <c r="T21" s="57" t="inlineStr">
        <is>
          <t>STA1</t>
        </is>
      </c>
      <c r="U21" s="57" t="inlineStr">
        <is>
          <t>A2</t>
        </is>
      </c>
      <c r="V21" s="57" t="inlineStr">
        <is>
          <t>N1</t>
        </is>
      </c>
      <c r="W21" s="57" t="inlineStr">
        <is>
          <t>N2</t>
        </is>
      </c>
      <c r="X21" s="57" t="inlineStr">
        <is>
          <t>O1</t>
        </is>
      </c>
      <c r="Y21" s="57" t="inlineStr">
        <is>
          <t>O2</t>
        </is>
      </c>
      <c r="Z21" s="57" t="inlineStr">
        <is>
          <t>O3</t>
        </is>
      </c>
      <c r="AA21" s="57" t="inlineStr">
        <is>
          <t>M1</t>
        </is>
      </c>
      <c r="AB21" s="57" t="inlineStr">
        <is>
          <t>A1</t>
        </is>
      </c>
      <c r="AC21" s="57" t="inlineStr">
        <is>
          <t>A2</t>
        </is>
      </c>
      <c r="AD21" s="57" t="inlineStr">
        <is>
          <t>N1</t>
        </is>
      </c>
      <c r="AE21" s="57" t="inlineStr">
        <is>
          <t>N2</t>
        </is>
      </c>
      <c r="AF21" s="57" t="inlineStr">
        <is>
          <t>O1</t>
        </is>
      </c>
      <c r="AG21" s="57" t="inlineStr">
        <is>
          <t>O2</t>
        </is>
      </c>
      <c r="AH21" s="57" t="inlineStr">
        <is>
          <t>O3</t>
        </is>
      </c>
      <c r="AI21" s="25" t="inlineStr">
        <is>
          <t>TR</t>
        </is>
      </c>
      <c r="AJ21" s="25" t="n"/>
      <c r="AL21" s="56">
        <f>COUNTIF($F21:$AJ21,"ST*")</f>
        <v/>
      </c>
      <c r="AM21" s="56">
        <f>COUNTIF($F21:$AJ21,"M*")</f>
        <v/>
      </c>
      <c r="AN21" s="56">
        <f>COUNTIF($F21:$AJ21,"A*")</f>
        <v/>
      </c>
      <c r="AO21" s="56">
        <f>COUNTIF($F21:$AJ21,"N*")</f>
        <v/>
      </c>
      <c r="AP21" s="56">
        <f>COUNTIF($F21:$AJ21,"O*")</f>
        <v/>
      </c>
    </row>
    <row r="22" ht="18.75" customHeight="1" s="6">
      <c r="B22" s="37" t="n">
        <v>18</v>
      </c>
      <c r="C22" s="92" t="inlineStr">
        <is>
          <t>Abdullah Al Shukeili - 82645</t>
        </is>
      </c>
      <c r="D22" s="134" t="n"/>
      <c r="F22" s="57" t="inlineStr">
        <is>
          <t>O1</t>
        </is>
      </c>
      <c r="G22" s="57" t="inlineStr">
        <is>
          <t>O2</t>
        </is>
      </c>
      <c r="H22" s="57" t="inlineStr">
        <is>
          <t>O3</t>
        </is>
      </c>
      <c r="I22" s="57" t="inlineStr">
        <is>
          <t>M1</t>
        </is>
      </c>
      <c r="J22" s="57" t="inlineStr">
        <is>
          <t>A1</t>
        </is>
      </c>
      <c r="K22" s="57" t="inlineStr">
        <is>
          <t>N1</t>
        </is>
      </c>
      <c r="L22" s="57" t="inlineStr">
        <is>
          <t>N2</t>
        </is>
      </c>
      <c r="M22" s="57" t="inlineStr">
        <is>
          <t>N3</t>
        </is>
      </c>
      <c r="N22" s="57" t="inlineStr">
        <is>
          <t>O1</t>
        </is>
      </c>
      <c r="O22" s="57" t="inlineStr">
        <is>
          <t>O2</t>
        </is>
      </c>
      <c r="P22" s="57" t="inlineStr">
        <is>
          <t>O3</t>
        </is>
      </c>
      <c r="Q22" s="57" t="inlineStr">
        <is>
          <t>M1</t>
        </is>
      </c>
      <c r="R22" s="57" t="inlineStr">
        <is>
          <t>M2</t>
        </is>
      </c>
      <c r="S22" s="57" t="inlineStr">
        <is>
          <t>A1</t>
        </is>
      </c>
      <c r="T22" s="57" t="inlineStr">
        <is>
          <t>N1</t>
        </is>
      </c>
      <c r="U22" s="57" t="inlineStr">
        <is>
          <t>N2</t>
        </is>
      </c>
      <c r="V22" s="57" t="inlineStr">
        <is>
          <t>O1</t>
        </is>
      </c>
      <c r="W22" s="57" t="inlineStr">
        <is>
          <t>O2</t>
        </is>
      </c>
      <c r="X22" s="57" t="inlineStr">
        <is>
          <t>O3</t>
        </is>
      </c>
      <c r="Y22" s="57" t="inlineStr">
        <is>
          <t>M1</t>
        </is>
      </c>
      <c r="Z22" s="57" t="inlineStr">
        <is>
          <t>A1</t>
        </is>
      </c>
      <c r="AA22" s="57" t="inlineStr">
        <is>
          <t>A2</t>
        </is>
      </c>
      <c r="AB22" s="57" t="inlineStr">
        <is>
          <t>N1</t>
        </is>
      </c>
      <c r="AC22" s="57" t="inlineStr">
        <is>
          <t>N2</t>
        </is>
      </c>
      <c r="AD22" s="57" t="inlineStr">
        <is>
          <t>O1</t>
        </is>
      </c>
      <c r="AE22" s="57" t="inlineStr">
        <is>
          <t>O2</t>
        </is>
      </c>
      <c r="AF22" s="57" t="inlineStr">
        <is>
          <t>O3</t>
        </is>
      </c>
      <c r="AG22" s="57" t="inlineStr">
        <is>
          <t>M1</t>
        </is>
      </c>
      <c r="AH22" s="57" t="inlineStr">
        <is>
          <t>A1</t>
        </is>
      </c>
      <c r="AI22" s="25" t="inlineStr">
        <is>
          <t>N1</t>
        </is>
      </c>
      <c r="AJ22" s="24" t="n"/>
      <c r="AL22" s="56">
        <f>COUNTIF($F22:$AJ22,"ST*")</f>
        <v/>
      </c>
      <c r="AM22" s="56">
        <f>COUNTIF($F22:$AJ22,"M*")</f>
        <v/>
      </c>
      <c r="AN22" s="56">
        <f>COUNTIF($F22:$AJ22,"A*")</f>
        <v/>
      </c>
      <c r="AO22" s="56">
        <f>COUNTIF($F22:$AJ22,"N*")</f>
        <v/>
      </c>
      <c r="AP22" s="56">
        <f>COUNTIF($F22:$AJ22,"O*")</f>
        <v/>
      </c>
    </row>
    <row r="23" ht="18.75" customHeight="1" s="6">
      <c r="B23" s="37" t="n">
        <v>19</v>
      </c>
      <c r="C23" s="92" t="inlineStr">
        <is>
          <t>Ali Al Mamari - 82574</t>
        </is>
      </c>
      <c r="D23" s="134" t="n"/>
      <c r="F23" s="57" t="inlineStr">
        <is>
          <t>O2</t>
        </is>
      </c>
      <c r="G23" s="57" t="inlineStr">
        <is>
          <t>O3</t>
        </is>
      </c>
      <c r="H23" s="57" t="inlineStr">
        <is>
          <t>M1</t>
        </is>
      </c>
      <c r="I23" s="57" t="inlineStr">
        <is>
          <t>A1</t>
        </is>
      </c>
      <c r="J23" s="57" t="inlineStr">
        <is>
          <t>N1</t>
        </is>
      </c>
      <c r="K23" s="57" t="inlineStr">
        <is>
          <t>N2</t>
        </is>
      </c>
      <c r="L23" s="57" t="inlineStr">
        <is>
          <t>N3</t>
        </is>
      </c>
      <c r="M23" s="57" t="inlineStr">
        <is>
          <t>O1</t>
        </is>
      </c>
      <c r="N23" s="57" t="inlineStr">
        <is>
          <t>O2</t>
        </is>
      </c>
      <c r="O23" s="57" t="inlineStr">
        <is>
          <t>O3</t>
        </is>
      </c>
      <c r="P23" s="57" t="inlineStr">
        <is>
          <t>M1</t>
        </is>
      </c>
      <c r="Q23" s="57" t="inlineStr">
        <is>
          <t>A1</t>
        </is>
      </c>
      <c r="R23" s="57" t="inlineStr">
        <is>
          <t>A2</t>
        </is>
      </c>
      <c r="S23" s="57" t="inlineStr">
        <is>
          <t>N1</t>
        </is>
      </c>
      <c r="T23" s="57" t="inlineStr">
        <is>
          <t>N2</t>
        </is>
      </c>
      <c r="U23" s="57" t="inlineStr">
        <is>
          <t>O1</t>
        </is>
      </c>
      <c r="V23" s="57" t="inlineStr">
        <is>
          <t>O2</t>
        </is>
      </c>
      <c r="W23" s="57" t="inlineStr">
        <is>
          <t>O3</t>
        </is>
      </c>
      <c r="X23" s="57" t="inlineStr">
        <is>
          <t>M1</t>
        </is>
      </c>
      <c r="Y23" s="57" t="inlineStr">
        <is>
          <t>A1</t>
        </is>
      </c>
      <c r="Z23" s="57" t="inlineStr">
        <is>
          <t>N1</t>
        </is>
      </c>
      <c r="AA23" s="57" t="inlineStr">
        <is>
          <t>N2</t>
        </is>
      </c>
      <c r="AB23" s="57" t="inlineStr">
        <is>
          <t>N3</t>
        </is>
      </c>
      <c r="AC23" s="57" t="inlineStr">
        <is>
          <t>O1</t>
        </is>
      </c>
      <c r="AD23" s="57" t="inlineStr">
        <is>
          <t>O2</t>
        </is>
      </c>
      <c r="AE23" s="57" t="inlineStr">
        <is>
          <t>O3</t>
        </is>
      </c>
      <c r="AF23" s="57" t="inlineStr">
        <is>
          <t>M1</t>
        </is>
      </c>
      <c r="AG23" s="57" t="inlineStr">
        <is>
          <t>M2</t>
        </is>
      </c>
      <c r="AH23" s="57" t="inlineStr">
        <is>
          <t>A1</t>
        </is>
      </c>
      <c r="AI23" s="25" t="inlineStr">
        <is>
          <t>N1</t>
        </is>
      </c>
      <c r="AJ23" s="25" t="n"/>
      <c r="AL23" s="56">
        <f>COUNTIF($F23:$AJ23,"ST*")</f>
        <v/>
      </c>
      <c r="AM23" s="56">
        <f>COUNTIF($F23:$AJ23,"M*")</f>
        <v/>
      </c>
      <c r="AN23" s="56">
        <f>COUNTIF($F23:$AJ23,"A*")</f>
        <v/>
      </c>
      <c r="AO23" s="56">
        <f>COUNTIF($F23:$AJ23,"N*")</f>
        <v/>
      </c>
      <c r="AP23" s="56">
        <f>COUNTIF($F23:$AJ23,"O*")</f>
        <v/>
      </c>
    </row>
    <row r="24" ht="18.75" customHeight="1" s="6">
      <c r="B24" s="37" t="n">
        <v>20</v>
      </c>
      <c r="C24" s="92" t="inlineStr">
        <is>
          <t>Raad Al Farsi - 82578</t>
        </is>
      </c>
      <c r="D24" s="134" t="n"/>
      <c r="F24" s="63" t="n"/>
      <c r="G24" s="63" t="n"/>
      <c r="H24" s="63" t="n"/>
      <c r="I24" s="63" t="n"/>
      <c r="J24" s="63" t="n"/>
      <c r="K24" s="63" t="n"/>
      <c r="L24" s="63" t="n"/>
      <c r="M24" s="63" t="n"/>
      <c r="N24" s="63" t="n"/>
      <c r="O24" s="63" t="n"/>
      <c r="P24" s="63" t="n"/>
      <c r="Q24" s="63" t="n"/>
      <c r="R24" s="63" t="n"/>
      <c r="S24" s="63" t="n"/>
      <c r="T24" s="63" t="n"/>
      <c r="U24" s="63" t="n"/>
      <c r="V24" s="63" t="n"/>
      <c r="W24" s="63" t="n"/>
      <c r="X24" s="63" t="n"/>
      <c r="Y24" s="63" t="n"/>
      <c r="Z24" s="63" t="n"/>
      <c r="AA24" s="63" t="n"/>
      <c r="AB24" s="63" t="n"/>
      <c r="AC24" s="63" t="n"/>
      <c r="AD24" s="63" t="n"/>
      <c r="AE24" s="63" t="n"/>
      <c r="AF24" s="63" t="n"/>
      <c r="AG24" s="63" t="n"/>
      <c r="AH24" s="63" t="n"/>
      <c r="AI24" s="64" t="n"/>
      <c r="AJ24" s="24" t="n"/>
      <c r="AL24" s="56">
        <f>COUNTIF($F24:$AJ24,"ST*")</f>
        <v/>
      </c>
      <c r="AM24" s="56">
        <f>COUNTIF($F24:$AJ24,"M*")</f>
        <v/>
      </c>
      <c r="AN24" s="56">
        <f>COUNTIF($F24:$AJ24,"A*")</f>
        <v/>
      </c>
      <c r="AO24" s="56">
        <f>COUNTIF($F24:$AJ24,"N*")</f>
        <v/>
      </c>
      <c r="AP24" s="56">
        <f>COUNTIF($F24:$AJ24,"O*")</f>
        <v/>
      </c>
    </row>
    <row r="25" ht="18.75" customHeight="1" s="6">
      <c r="B25" s="37" t="n">
        <v>21</v>
      </c>
      <c r="C25" s="92" t="inlineStr">
        <is>
          <t>Mohamed Al Mamari - 82674</t>
        </is>
      </c>
      <c r="D25" s="134" t="n"/>
      <c r="F25" s="57" t="inlineStr">
        <is>
          <t>O1</t>
        </is>
      </c>
      <c r="G25" s="57" t="inlineStr">
        <is>
          <t>A1</t>
        </is>
      </c>
      <c r="H25" s="57" t="inlineStr">
        <is>
          <t>A2</t>
        </is>
      </c>
      <c r="I25" s="57" t="inlineStr">
        <is>
          <t>N1</t>
        </is>
      </c>
      <c r="J25" s="57" t="inlineStr">
        <is>
          <t>O1</t>
        </is>
      </c>
      <c r="K25" s="57" t="inlineStr">
        <is>
          <t>O2</t>
        </is>
      </c>
      <c r="L25" s="57" t="inlineStr">
        <is>
          <t>O3</t>
        </is>
      </c>
      <c r="M25" s="63" t="n"/>
      <c r="N25" s="63" t="n"/>
      <c r="O25" s="63" t="n"/>
      <c r="P25" s="63" t="n"/>
      <c r="Q25" s="63" t="n"/>
      <c r="R25" s="63" t="n"/>
      <c r="S25" s="63" t="n"/>
      <c r="T25" s="63" t="n"/>
      <c r="U25" s="63" t="n"/>
      <c r="V25" s="63" t="n"/>
      <c r="W25" s="63" t="n"/>
      <c r="X25" s="63" t="n"/>
      <c r="Y25" s="63" t="n"/>
      <c r="Z25" s="63" t="n"/>
      <c r="AA25" s="57" t="inlineStr">
        <is>
          <t>O2</t>
        </is>
      </c>
      <c r="AB25" s="57" t="inlineStr">
        <is>
          <t>O3</t>
        </is>
      </c>
      <c r="AC25" s="57" t="inlineStr">
        <is>
          <t>M1</t>
        </is>
      </c>
      <c r="AD25" s="57" t="inlineStr">
        <is>
          <t>A1</t>
        </is>
      </c>
      <c r="AE25" s="57" t="inlineStr">
        <is>
          <t>N1</t>
        </is>
      </c>
      <c r="AF25" s="57" t="inlineStr">
        <is>
          <t>N2</t>
        </is>
      </c>
      <c r="AG25" s="57" t="inlineStr">
        <is>
          <t>N3</t>
        </is>
      </c>
      <c r="AH25" s="57" t="inlineStr">
        <is>
          <t>O1</t>
        </is>
      </c>
      <c r="AI25" s="25" t="inlineStr">
        <is>
          <t>O2</t>
        </is>
      </c>
      <c r="AJ25" s="25" t="n"/>
      <c r="AL25" s="56">
        <f>COUNTIF($F25:$AJ25,"ST*")</f>
        <v/>
      </c>
      <c r="AM25" s="56">
        <f>COUNTIF($F25:$AJ25,"M*")</f>
        <v/>
      </c>
      <c r="AN25" s="56">
        <f>COUNTIF($F25:$AJ25,"A*")</f>
        <v/>
      </c>
      <c r="AO25" s="56">
        <f>COUNTIF($F25:$AJ25,"N*")</f>
        <v/>
      </c>
      <c r="AP25" s="56">
        <f>COUNTIF($F25:$AJ25,"O*")</f>
        <v/>
      </c>
    </row>
    <row r="26" ht="18.75" customHeight="1" s="6">
      <c r="B26" s="37" t="n">
        <v>22</v>
      </c>
      <c r="C26" s="92" t="inlineStr">
        <is>
          <t>Waleed Al Siyabi - 8611</t>
        </is>
      </c>
      <c r="D26" s="134" t="n"/>
      <c r="F26" s="57" t="inlineStr">
        <is>
          <t>A1</t>
        </is>
      </c>
      <c r="G26" s="57" t="inlineStr">
        <is>
          <t>N1</t>
        </is>
      </c>
      <c r="H26" s="57" t="inlineStr">
        <is>
          <t>N2</t>
        </is>
      </c>
      <c r="I26" s="57" t="inlineStr">
        <is>
          <t>O1</t>
        </is>
      </c>
      <c r="J26" s="57" t="inlineStr">
        <is>
          <t>O2</t>
        </is>
      </c>
      <c r="K26" s="57" t="inlineStr">
        <is>
          <t>O3</t>
        </is>
      </c>
      <c r="L26" s="57" t="inlineStr">
        <is>
          <t>M1</t>
        </is>
      </c>
      <c r="M26" s="57" t="inlineStr">
        <is>
          <t>A1</t>
        </is>
      </c>
      <c r="N26" s="57" t="inlineStr">
        <is>
          <t>A2</t>
        </is>
      </c>
      <c r="O26" s="57" t="inlineStr">
        <is>
          <t>N1</t>
        </is>
      </c>
      <c r="P26" s="57" t="inlineStr">
        <is>
          <t>N2</t>
        </is>
      </c>
      <c r="Q26" s="57" t="inlineStr">
        <is>
          <t>O1</t>
        </is>
      </c>
      <c r="R26" s="57" t="inlineStr">
        <is>
          <t>O2</t>
        </is>
      </c>
      <c r="S26" s="57" t="inlineStr">
        <is>
          <t>O3</t>
        </is>
      </c>
      <c r="T26" s="57" t="inlineStr">
        <is>
          <t>STM1</t>
        </is>
      </c>
      <c r="U26" s="57" t="inlineStr">
        <is>
          <t>A1</t>
        </is>
      </c>
      <c r="V26" s="57" t="inlineStr">
        <is>
          <t>A2</t>
        </is>
      </c>
      <c r="W26" s="57" t="inlineStr">
        <is>
          <t>N1</t>
        </is>
      </c>
      <c r="X26" s="57" t="inlineStr">
        <is>
          <t>N2</t>
        </is>
      </c>
      <c r="Y26" s="57" t="inlineStr">
        <is>
          <t>O1</t>
        </is>
      </c>
      <c r="Z26" s="57" t="inlineStr">
        <is>
          <t>O2</t>
        </is>
      </c>
      <c r="AA26" s="57" t="inlineStr">
        <is>
          <t>O3</t>
        </is>
      </c>
      <c r="AB26" s="57" t="inlineStr">
        <is>
          <t>M1</t>
        </is>
      </c>
      <c r="AC26" s="57" t="inlineStr">
        <is>
          <t>A1</t>
        </is>
      </c>
      <c r="AD26" s="57" t="inlineStr">
        <is>
          <t>A2</t>
        </is>
      </c>
      <c r="AE26" s="57" t="inlineStr">
        <is>
          <t>N1</t>
        </is>
      </c>
      <c r="AF26" s="57" t="inlineStr">
        <is>
          <t>N2</t>
        </is>
      </c>
      <c r="AG26" s="57" t="inlineStr">
        <is>
          <t>O1</t>
        </is>
      </c>
      <c r="AH26" s="57" t="inlineStr">
        <is>
          <t>O2</t>
        </is>
      </c>
      <c r="AI26" s="25" t="inlineStr">
        <is>
          <t>O3</t>
        </is>
      </c>
      <c r="AJ26" s="25" t="n"/>
      <c r="AL26" s="56">
        <f>COUNTIF($F26:$AJ26,"ST*")</f>
        <v/>
      </c>
      <c r="AM26" s="56">
        <f>COUNTIF($F26:$AJ26,"M*")</f>
        <v/>
      </c>
      <c r="AN26" s="56">
        <f>COUNTIF($F26:$AJ26,"A*")</f>
        <v/>
      </c>
      <c r="AO26" s="56">
        <f>COUNTIF($F26:$AJ26,"N*")</f>
        <v/>
      </c>
      <c r="AP26" s="56">
        <f>COUNTIF($F26:$AJ26,"O*")</f>
        <v/>
      </c>
    </row>
    <row r="27" ht="18.75" customHeight="1" s="6">
      <c r="B27" s="37" t="n">
        <v>23</v>
      </c>
      <c r="C27" s="92" t="inlineStr">
        <is>
          <t>Mohamed Al Maskari - 82666</t>
        </is>
      </c>
      <c r="D27" s="134" t="n"/>
      <c r="F27" s="57" t="inlineStr">
        <is>
          <t>N1</t>
        </is>
      </c>
      <c r="G27" s="57" t="inlineStr">
        <is>
          <t>N2</t>
        </is>
      </c>
      <c r="H27" s="57" t="inlineStr">
        <is>
          <t>O1</t>
        </is>
      </c>
      <c r="I27" s="57" t="inlineStr">
        <is>
          <t>O2</t>
        </is>
      </c>
      <c r="J27" s="57" t="inlineStr">
        <is>
          <t>O3</t>
        </is>
      </c>
      <c r="K27" s="57" t="inlineStr">
        <is>
          <t>M1</t>
        </is>
      </c>
      <c r="L27" s="57" t="inlineStr">
        <is>
          <t>A1</t>
        </is>
      </c>
      <c r="M27" s="57" t="inlineStr">
        <is>
          <t>A2</t>
        </is>
      </c>
      <c r="N27" s="57" t="inlineStr">
        <is>
          <t>N1</t>
        </is>
      </c>
      <c r="O27" s="57" t="inlineStr">
        <is>
          <t>N2</t>
        </is>
      </c>
      <c r="P27" s="57" t="inlineStr">
        <is>
          <t>O1</t>
        </is>
      </c>
      <c r="Q27" s="57" t="inlineStr">
        <is>
          <t>O2</t>
        </is>
      </c>
      <c r="R27" s="57" t="inlineStr">
        <is>
          <t>O3</t>
        </is>
      </c>
      <c r="S27" s="57" t="inlineStr">
        <is>
          <t>M1</t>
        </is>
      </c>
      <c r="T27" s="57" t="inlineStr">
        <is>
          <t>M2</t>
        </is>
      </c>
      <c r="U27" s="57" t="inlineStr">
        <is>
          <t>A1</t>
        </is>
      </c>
      <c r="V27" s="57" t="inlineStr">
        <is>
          <t>N1</t>
        </is>
      </c>
      <c r="W27" s="57" t="inlineStr">
        <is>
          <t>N2</t>
        </is>
      </c>
      <c r="X27" s="57" t="inlineStr">
        <is>
          <t>O1</t>
        </is>
      </c>
      <c r="Y27" s="57" t="inlineStr">
        <is>
          <t>O2</t>
        </is>
      </c>
      <c r="Z27" s="57" t="inlineStr">
        <is>
          <t>O3</t>
        </is>
      </c>
      <c r="AA27" s="57" t="inlineStr">
        <is>
          <t>M1</t>
        </is>
      </c>
      <c r="AB27" s="57" t="inlineStr">
        <is>
          <t>M2</t>
        </is>
      </c>
      <c r="AC27" s="57" t="inlineStr">
        <is>
          <t>A1</t>
        </is>
      </c>
      <c r="AD27" s="57" t="inlineStr">
        <is>
          <t>TR</t>
        </is>
      </c>
      <c r="AE27" s="57" t="inlineStr">
        <is>
          <t>N2</t>
        </is>
      </c>
      <c r="AF27" s="57" t="inlineStr">
        <is>
          <t>O1</t>
        </is>
      </c>
      <c r="AG27" s="57" t="inlineStr">
        <is>
          <t>O2</t>
        </is>
      </c>
      <c r="AH27" s="57" t="inlineStr">
        <is>
          <t>O3</t>
        </is>
      </c>
      <c r="AI27" s="25" t="inlineStr">
        <is>
          <t>M1</t>
        </is>
      </c>
      <c r="AJ27" s="24" t="n"/>
      <c r="AL27" s="56">
        <f>COUNTIF($F27:$AJ27,"ST*")</f>
        <v/>
      </c>
      <c r="AM27" s="56">
        <f>COUNTIF($F27:$AJ27,"M*")</f>
        <v/>
      </c>
      <c r="AN27" s="56">
        <f>COUNTIF($F27:$AJ27,"A*")</f>
        <v/>
      </c>
      <c r="AO27" s="56">
        <f>COUNTIF($F27:$AJ27,"N*")</f>
        <v/>
      </c>
      <c r="AP27" s="56">
        <f>COUNTIF($F27:$AJ27,"O*")</f>
        <v/>
      </c>
    </row>
    <row r="28" ht="18.75" customHeight="1" s="6">
      <c r="B28" s="37" t="n">
        <v>24</v>
      </c>
      <c r="C28" s="92" t="inlineStr">
        <is>
          <t>Mazin Al Hajri - 82547</t>
        </is>
      </c>
      <c r="D28" s="134" t="n"/>
      <c r="F28" s="57" t="inlineStr">
        <is>
          <t>N2</t>
        </is>
      </c>
      <c r="G28" s="57" t="inlineStr">
        <is>
          <t>O1</t>
        </is>
      </c>
      <c r="H28" s="57" t="inlineStr">
        <is>
          <t>O2</t>
        </is>
      </c>
      <c r="I28" s="57" t="inlineStr">
        <is>
          <t>O3</t>
        </is>
      </c>
      <c r="J28" s="57" t="inlineStr">
        <is>
          <t>M1</t>
        </is>
      </c>
      <c r="K28" s="57" t="inlineStr">
        <is>
          <t>A1</t>
        </is>
      </c>
      <c r="L28" s="57" t="inlineStr">
        <is>
          <t>A2</t>
        </is>
      </c>
      <c r="M28" s="57" t="inlineStr">
        <is>
          <t>STN1</t>
        </is>
      </c>
      <c r="N28" s="57" t="inlineStr">
        <is>
          <t>N2</t>
        </is>
      </c>
      <c r="O28" s="57" t="inlineStr">
        <is>
          <t>O1</t>
        </is>
      </c>
      <c r="P28" s="57" t="inlineStr">
        <is>
          <t>O2</t>
        </is>
      </c>
      <c r="Q28" s="57" t="inlineStr">
        <is>
          <t>O3</t>
        </is>
      </c>
      <c r="R28" s="57" t="inlineStr">
        <is>
          <t>M1</t>
        </is>
      </c>
      <c r="S28" s="57" t="inlineStr">
        <is>
          <t>A1</t>
        </is>
      </c>
      <c r="T28" s="57" t="inlineStr">
        <is>
          <t>A2</t>
        </is>
      </c>
      <c r="U28" s="57" t="inlineStr">
        <is>
          <t>N1</t>
        </is>
      </c>
      <c r="V28" s="57" t="inlineStr">
        <is>
          <t>N2</t>
        </is>
      </c>
      <c r="W28" s="57" t="inlineStr">
        <is>
          <t>O1</t>
        </is>
      </c>
      <c r="X28" s="57" t="inlineStr">
        <is>
          <t>O2</t>
        </is>
      </c>
      <c r="Y28" s="57" t="inlineStr">
        <is>
          <t>O3</t>
        </is>
      </c>
      <c r="Z28" s="57" t="inlineStr">
        <is>
          <t>M1</t>
        </is>
      </c>
      <c r="AA28" s="57" t="inlineStr">
        <is>
          <t>A1</t>
        </is>
      </c>
      <c r="AB28" s="57" t="inlineStr">
        <is>
          <t>A2</t>
        </is>
      </c>
      <c r="AC28" s="57" t="inlineStr">
        <is>
          <t>N1</t>
        </is>
      </c>
      <c r="AD28" s="57" t="inlineStr">
        <is>
          <t>N2</t>
        </is>
      </c>
      <c r="AE28" s="57" t="inlineStr">
        <is>
          <t>O1</t>
        </is>
      </c>
      <c r="AF28" s="57" t="inlineStr">
        <is>
          <t>O2</t>
        </is>
      </c>
      <c r="AG28" s="57" t="inlineStr">
        <is>
          <t>O3</t>
        </is>
      </c>
      <c r="AH28" s="57" t="inlineStr">
        <is>
          <t>M1</t>
        </is>
      </c>
      <c r="AI28" s="25" t="inlineStr">
        <is>
          <t>A1</t>
        </is>
      </c>
      <c r="AJ28" s="25" t="n"/>
      <c r="AL28" s="56">
        <f>COUNTIF($F28:$AJ28,"ST*")</f>
        <v/>
      </c>
      <c r="AM28" s="56">
        <f>COUNTIF($F28:$AJ28,"M*")</f>
        <v/>
      </c>
      <c r="AN28" s="56">
        <f>COUNTIF($F28:$AJ28,"A*")</f>
        <v/>
      </c>
      <c r="AO28" s="56">
        <f>COUNTIF($F28:$AJ28,"N*")</f>
        <v/>
      </c>
      <c r="AP28" s="56">
        <f>COUNTIF($F28:$AJ28,"O*")</f>
        <v/>
      </c>
    </row>
    <row r="29" ht="18.75" customHeight="1" s="6">
      <c r="B29" s="37" t="n">
        <v>25</v>
      </c>
      <c r="C29" s="92" t="inlineStr">
        <is>
          <t>Ali Al Marjubi - 82577</t>
        </is>
      </c>
      <c r="D29" s="134" t="n"/>
      <c r="F29" s="57" t="inlineStr">
        <is>
          <t>O1</t>
        </is>
      </c>
      <c r="G29" s="57" t="inlineStr">
        <is>
          <t>O2</t>
        </is>
      </c>
      <c r="H29" s="57" t="inlineStr">
        <is>
          <t>O3</t>
        </is>
      </c>
      <c r="I29" s="57" t="inlineStr">
        <is>
          <t>M1</t>
        </is>
      </c>
      <c r="J29" s="57" t="inlineStr">
        <is>
          <t>A1</t>
        </is>
      </c>
      <c r="K29" s="57" t="inlineStr">
        <is>
          <t>A2</t>
        </is>
      </c>
      <c r="L29" s="57" t="inlineStr">
        <is>
          <t>N1</t>
        </is>
      </c>
      <c r="M29" s="57" t="inlineStr">
        <is>
          <t>N2</t>
        </is>
      </c>
      <c r="N29" s="57" t="inlineStr">
        <is>
          <t>O1</t>
        </is>
      </c>
      <c r="O29" s="57" t="inlineStr">
        <is>
          <t>O2</t>
        </is>
      </c>
      <c r="P29" s="57" t="inlineStr">
        <is>
          <t>O3</t>
        </is>
      </c>
      <c r="Q29" s="57" t="inlineStr">
        <is>
          <t>M1</t>
        </is>
      </c>
      <c r="R29" s="57" t="inlineStr">
        <is>
          <t>A2</t>
        </is>
      </c>
      <c r="S29" s="57" t="inlineStr">
        <is>
          <t>A1</t>
        </is>
      </c>
      <c r="T29" s="57" t="inlineStr">
        <is>
          <t>N1</t>
        </is>
      </c>
      <c r="U29" s="57" t="inlineStr">
        <is>
          <t>N2</t>
        </is>
      </c>
      <c r="V29" s="57" t="inlineStr">
        <is>
          <t>O1</t>
        </is>
      </c>
      <c r="W29" s="57" t="inlineStr">
        <is>
          <t>O2</t>
        </is>
      </c>
      <c r="X29" s="57" t="inlineStr">
        <is>
          <t>O3</t>
        </is>
      </c>
      <c r="Y29" s="57" t="inlineStr">
        <is>
          <t>M1</t>
        </is>
      </c>
      <c r="Z29" s="57" t="inlineStr">
        <is>
          <t>A1</t>
        </is>
      </c>
      <c r="AA29" s="57" t="inlineStr">
        <is>
          <t>N1</t>
        </is>
      </c>
      <c r="AB29" s="57" t="inlineStr">
        <is>
          <t>N2</t>
        </is>
      </c>
      <c r="AC29" s="57" t="inlineStr">
        <is>
          <t>N3</t>
        </is>
      </c>
      <c r="AD29" s="57" t="inlineStr">
        <is>
          <t>O1</t>
        </is>
      </c>
      <c r="AE29" s="57" t="inlineStr">
        <is>
          <t>O2</t>
        </is>
      </c>
      <c r="AF29" s="57" t="inlineStr">
        <is>
          <t>O3</t>
        </is>
      </c>
      <c r="AG29" s="57" t="inlineStr">
        <is>
          <t>STM1</t>
        </is>
      </c>
      <c r="AH29" s="57" t="inlineStr">
        <is>
          <t>A1</t>
        </is>
      </c>
      <c r="AI29" s="25" t="inlineStr">
        <is>
          <t>A2</t>
        </is>
      </c>
      <c r="AJ29" s="25" t="n"/>
      <c r="AL29" s="56">
        <f>COUNTIF($F29:$AJ29,"ST*")</f>
        <v/>
      </c>
      <c r="AM29" s="56">
        <f>COUNTIF($F29:$AJ29,"M*")</f>
        <v/>
      </c>
      <c r="AN29" s="56">
        <f>COUNTIF($F29:$AJ29,"A*")</f>
        <v/>
      </c>
      <c r="AO29" s="56">
        <f>COUNTIF($F29:$AJ29,"N*")</f>
        <v/>
      </c>
      <c r="AP29" s="56">
        <f>COUNTIF($F29:$AJ29,"O*")</f>
        <v/>
      </c>
    </row>
    <row r="30" ht="18.75" customHeight="1" s="6">
      <c r="B30" s="37" t="n">
        <v>26</v>
      </c>
      <c r="C30" s="92" t="inlineStr">
        <is>
          <t>Hosni Al Sulti - 80695</t>
        </is>
      </c>
      <c r="D30" s="134" t="n"/>
      <c r="F30" s="57" t="inlineStr">
        <is>
          <t>O2</t>
        </is>
      </c>
      <c r="G30" s="57" t="inlineStr">
        <is>
          <t>O3</t>
        </is>
      </c>
      <c r="H30" s="57" t="inlineStr">
        <is>
          <t>M1</t>
        </is>
      </c>
      <c r="I30" s="57" t="inlineStr">
        <is>
          <t>A1</t>
        </is>
      </c>
      <c r="J30" s="57" t="inlineStr">
        <is>
          <t>A2</t>
        </is>
      </c>
      <c r="K30" s="57" t="inlineStr">
        <is>
          <t>A3</t>
        </is>
      </c>
      <c r="L30" s="57" t="inlineStr">
        <is>
          <t>N1</t>
        </is>
      </c>
      <c r="M30" s="57" t="inlineStr">
        <is>
          <t>O1</t>
        </is>
      </c>
      <c r="N30" s="57" t="inlineStr">
        <is>
          <t>O2</t>
        </is>
      </c>
      <c r="O30" s="57" t="inlineStr">
        <is>
          <t>O3</t>
        </is>
      </c>
      <c r="P30" s="57" t="inlineStr">
        <is>
          <t>TR</t>
        </is>
      </c>
      <c r="Q30" s="57" t="inlineStr">
        <is>
          <t>A1</t>
        </is>
      </c>
      <c r="R30" s="57" t="inlineStr">
        <is>
          <t>N1</t>
        </is>
      </c>
      <c r="S30" s="57" t="inlineStr">
        <is>
          <t>N2</t>
        </is>
      </c>
      <c r="T30" s="57" t="inlineStr">
        <is>
          <t>N3</t>
        </is>
      </c>
      <c r="U30" s="57" t="inlineStr">
        <is>
          <t>O1</t>
        </is>
      </c>
      <c r="V30" s="57" t="inlineStr">
        <is>
          <t>O2</t>
        </is>
      </c>
      <c r="W30" s="57" t="inlineStr">
        <is>
          <t>O3</t>
        </is>
      </c>
      <c r="X30" s="57" t="inlineStr">
        <is>
          <t>M1</t>
        </is>
      </c>
      <c r="Y30" s="57" t="inlineStr">
        <is>
          <t>A1</t>
        </is>
      </c>
      <c r="Z30" s="57" t="inlineStr">
        <is>
          <t>N1</t>
        </is>
      </c>
      <c r="AA30" s="57" t="inlineStr">
        <is>
          <t>N2</t>
        </is>
      </c>
      <c r="AB30" s="57" t="inlineStr">
        <is>
          <t>N3</t>
        </is>
      </c>
      <c r="AC30" s="57" t="inlineStr">
        <is>
          <t>O1</t>
        </is>
      </c>
      <c r="AD30" s="57" t="inlineStr">
        <is>
          <t>O2</t>
        </is>
      </c>
      <c r="AE30" s="57" t="inlineStr">
        <is>
          <t>O3</t>
        </is>
      </c>
      <c r="AF30" s="57" t="inlineStr">
        <is>
          <t>M1</t>
        </is>
      </c>
      <c r="AG30" s="57" t="inlineStr">
        <is>
          <t>A1</t>
        </is>
      </c>
      <c r="AH30" s="57" t="inlineStr">
        <is>
          <t>N1</t>
        </is>
      </c>
      <c r="AI30" s="25" t="inlineStr">
        <is>
          <t>N2</t>
        </is>
      </c>
      <c r="AJ30" s="24" t="n"/>
      <c r="AL30" s="56">
        <f>COUNTIF($F30:$AJ30,"ST*")</f>
        <v/>
      </c>
      <c r="AM30" s="56">
        <f>COUNTIF($F30:$AJ30,"M*")</f>
        <v/>
      </c>
      <c r="AN30" s="56">
        <f>COUNTIF($F30:$AJ30,"A*")</f>
        <v/>
      </c>
      <c r="AO30" s="56">
        <f>COUNTIF($F30:$AJ30,"N*")</f>
        <v/>
      </c>
      <c r="AP30" s="56">
        <f>COUNTIF($F30:$AJ30,"O*")</f>
        <v/>
      </c>
    </row>
    <row r="31" ht="18.75" customHeight="1" s="6">
      <c r="B31" s="37" t="n">
        <v>27</v>
      </c>
      <c r="C31" s="92" t="inlineStr">
        <is>
          <t>Yousuf Al Jaradi - 8646</t>
        </is>
      </c>
      <c r="D31" s="134" t="n"/>
      <c r="F31" s="57" t="inlineStr">
        <is>
          <t>O3</t>
        </is>
      </c>
      <c r="G31" s="57" t="inlineStr">
        <is>
          <t>M1</t>
        </is>
      </c>
      <c r="H31" s="57" t="inlineStr">
        <is>
          <t>A1</t>
        </is>
      </c>
      <c r="I31" s="57" t="inlineStr">
        <is>
          <t>N1</t>
        </is>
      </c>
      <c r="J31" s="57" t="inlineStr">
        <is>
          <t>N2</t>
        </is>
      </c>
      <c r="K31" s="57" t="inlineStr">
        <is>
          <t>N3</t>
        </is>
      </c>
      <c r="L31" s="57" t="inlineStr">
        <is>
          <t>O1</t>
        </is>
      </c>
      <c r="M31" s="57" t="inlineStr">
        <is>
          <t>O2</t>
        </is>
      </c>
      <c r="N31" s="57" t="inlineStr">
        <is>
          <t>O3</t>
        </is>
      </c>
      <c r="O31" s="57" t="inlineStr">
        <is>
          <t>M1</t>
        </is>
      </c>
      <c r="P31" s="57" t="inlineStr">
        <is>
          <t>M2</t>
        </is>
      </c>
      <c r="Q31" s="57" t="inlineStr">
        <is>
          <t>A1</t>
        </is>
      </c>
      <c r="R31" s="57" t="inlineStr">
        <is>
          <t>N1</t>
        </is>
      </c>
      <c r="S31" s="57" t="inlineStr">
        <is>
          <t>N2</t>
        </is>
      </c>
      <c r="T31" s="57" t="inlineStr">
        <is>
          <t>O1</t>
        </is>
      </c>
      <c r="U31" s="57" t="inlineStr">
        <is>
          <t>O2</t>
        </is>
      </c>
      <c r="V31" s="57" t="inlineStr">
        <is>
          <t>O3</t>
        </is>
      </c>
      <c r="W31" s="57" t="inlineStr">
        <is>
          <t>M1</t>
        </is>
      </c>
      <c r="X31" s="57" t="inlineStr">
        <is>
          <t>A1</t>
        </is>
      </c>
      <c r="Y31" s="57" t="inlineStr">
        <is>
          <t>A2</t>
        </is>
      </c>
      <c r="Z31" s="57" t="inlineStr">
        <is>
          <t>N1</t>
        </is>
      </c>
      <c r="AA31" s="57" t="inlineStr">
        <is>
          <t>N2</t>
        </is>
      </c>
      <c r="AB31" s="57" t="inlineStr">
        <is>
          <t>O1</t>
        </is>
      </c>
      <c r="AC31" s="57" t="inlineStr">
        <is>
          <t>O2</t>
        </is>
      </c>
      <c r="AD31" s="57" t="inlineStr">
        <is>
          <t>O3</t>
        </is>
      </c>
      <c r="AE31" s="57" t="inlineStr">
        <is>
          <t>M1</t>
        </is>
      </c>
      <c r="AF31" s="57" t="inlineStr">
        <is>
          <t>A1</t>
        </is>
      </c>
      <c r="AG31" s="57" t="inlineStr">
        <is>
          <t>A2</t>
        </is>
      </c>
      <c r="AH31" s="57" t="inlineStr">
        <is>
          <t>N1</t>
        </is>
      </c>
      <c r="AI31" s="25" t="inlineStr">
        <is>
          <t>N2</t>
        </is>
      </c>
      <c r="AJ31" s="25" t="n"/>
      <c r="AL31" s="56">
        <f>COUNTIF($F31:$AJ31,"ST*")</f>
        <v/>
      </c>
      <c r="AM31" s="56">
        <f>COUNTIF($F31:$AJ31,"M*")</f>
        <v/>
      </c>
      <c r="AN31" s="56">
        <f>COUNTIF($F31:$AJ31,"A*")</f>
        <v/>
      </c>
      <c r="AO31" s="56">
        <f>COUNTIF($F31:$AJ31,"N*")</f>
        <v/>
      </c>
      <c r="AP31" s="56">
        <f>COUNTIF($F31:$AJ31,"O*")</f>
        <v/>
      </c>
    </row>
    <row r="32" ht="18.75" customHeight="1" s="6">
      <c r="B32" s="37" t="n">
        <v>28</v>
      </c>
      <c r="C32" s="92" t="inlineStr">
        <is>
          <t>Riyadh Al Jabri - 82555</t>
        </is>
      </c>
      <c r="D32" s="134" t="n"/>
      <c r="F32" s="57" t="inlineStr">
        <is>
          <t>M1</t>
        </is>
      </c>
      <c r="G32" s="57" t="inlineStr">
        <is>
          <t>M2</t>
        </is>
      </c>
      <c r="H32" s="57" t="inlineStr">
        <is>
          <t>A1</t>
        </is>
      </c>
      <c r="I32" s="57" t="inlineStr">
        <is>
          <t>N1</t>
        </is>
      </c>
      <c r="J32" s="57" t="inlineStr">
        <is>
          <t>N2</t>
        </is>
      </c>
      <c r="K32" s="57" t="inlineStr">
        <is>
          <t>O1</t>
        </is>
      </c>
      <c r="L32" s="57" t="inlineStr">
        <is>
          <t>O2</t>
        </is>
      </c>
      <c r="M32" s="57" t="inlineStr">
        <is>
          <t>O3</t>
        </is>
      </c>
      <c r="N32" s="57" t="inlineStr">
        <is>
          <t>M1</t>
        </is>
      </c>
      <c r="O32" s="57" t="inlineStr">
        <is>
          <t>M2</t>
        </is>
      </c>
      <c r="P32" s="57" t="inlineStr">
        <is>
          <t>A1</t>
        </is>
      </c>
      <c r="Q32" s="57" t="inlineStr">
        <is>
          <t>N1</t>
        </is>
      </c>
      <c r="R32" s="57" t="inlineStr">
        <is>
          <t>N2</t>
        </is>
      </c>
      <c r="S32" s="57" t="inlineStr">
        <is>
          <t>O1</t>
        </is>
      </c>
      <c r="T32" s="57" t="inlineStr">
        <is>
          <t>O2</t>
        </is>
      </c>
      <c r="U32" s="57" t="inlineStr">
        <is>
          <t>TR</t>
        </is>
      </c>
      <c r="V32" s="57" t="inlineStr">
        <is>
          <t>TR</t>
        </is>
      </c>
      <c r="W32" s="57" t="inlineStr">
        <is>
          <t>TR</t>
        </is>
      </c>
      <c r="X32" s="57" t="inlineStr">
        <is>
          <t>A2</t>
        </is>
      </c>
      <c r="Y32" s="57" t="inlineStr">
        <is>
          <t>N1</t>
        </is>
      </c>
      <c r="Z32" s="57" t="inlineStr">
        <is>
          <t>N2</t>
        </is>
      </c>
      <c r="AA32" s="57" t="inlineStr">
        <is>
          <t>O1</t>
        </is>
      </c>
      <c r="AB32" s="57" t="inlineStr">
        <is>
          <t>O2</t>
        </is>
      </c>
      <c r="AC32" s="57" t="inlineStr">
        <is>
          <t>O3</t>
        </is>
      </c>
      <c r="AD32" s="57" t="inlineStr">
        <is>
          <t>M1</t>
        </is>
      </c>
      <c r="AE32" s="57" t="inlineStr">
        <is>
          <t>M2</t>
        </is>
      </c>
      <c r="AF32" s="57" t="inlineStr">
        <is>
          <t>A1</t>
        </is>
      </c>
      <c r="AG32" s="57" t="inlineStr">
        <is>
          <t>N1</t>
        </is>
      </c>
      <c r="AH32" s="57" t="inlineStr">
        <is>
          <t>N2</t>
        </is>
      </c>
      <c r="AI32" s="25" t="inlineStr">
        <is>
          <t>O1</t>
        </is>
      </c>
      <c r="AJ32" s="25" t="n"/>
      <c r="AL32" s="56">
        <f>COUNTIF($F32:$AJ32,"ST*")</f>
        <v/>
      </c>
      <c r="AM32" s="56">
        <f>COUNTIF($F32:$AJ32,"M*")</f>
        <v/>
      </c>
      <c r="AN32" s="56">
        <f>COUNTIF($F32:$AJ32,"A*")</f>
        <v/>
      </c>
      <c r="AO32" s="56">
        <f>COUNTIF($F32:$AJ32,"N*")</f>
        <v/>
      </c>
      <c r="AP32" s="56">
        <f>COUNTIF($F32:$AJ32,"O*")</f>
        <v/>
      </c>
    </row>
    <row r="33" ht="18.75" customHeight="1" s="6">
      <c r="B33" s="37" t="n">
        <v>29</v>
      </c>
      <c r="C33" s="92" t="inlineStr">
        <is>
          <t>Riyadh Al Sulti - 82424</t>
        </is>
      </c>
      <c r="D33" s="134" t="n"/>
      <c r="F33" s="57" t="inlineStr">
        <is>
          <t>O1</t>
        </is>
      </c>
      <c r="G33" s="57" t="inlineStr">
        <is>
          <t>A1</t>
        </is>
      </c>
      <c r="H33" s="57" t="inlineStr">
        <is>
          <t>N1</t>
        </is>
      </c>
      <c r="I33" s="57" t="inlineStr">
        <is>
          <t>N2</t>
        </is>
      </c>
      <c r="J33" s="57" t="inlineStr">
        <is>
          <t>O1</t>
        </is>
      </c>
      <c r="K33" s="57" t="inlineStr">
        <is>
          <t>O2</t>
        </is>
      </c>
      <c r="L33" s="57" t="inlineStr">
        <is>
          <t>O3</t>
        </is>
      </c>
      <c r="M33" s="57" t="inlineStr">
        <is>
          <t>M1</t>
        </is>
      </c>
      <c r="N33" s="57" t="inlineStr">
        <is>
          <t>M2</t>
        </is>
      </c>
      <c r="O33" s="57" t="inlineStr">
        <is>
          <t>A1</t>
        </is>
      </c>
      <c r="P33" s="57" t="inlineStr">
        <is>
          <t>N1</t>
        </is>
      </c>
      <c r="Q33" s="57" t="inlineStr">
        <is>
          <t>N2</t>
        </is>
      </c>
      <c r="R33" s="57" t="inlineStr">
        <is>
          <t>O1</t>
        </is>
      </c>
      <c r="S33" s="57" t="inlineStr">
        <is>
          <t>O2</t>
        </is>
      </c>
      <c r="T33" s="57" t="inlineStr">
        <is>
          <t>O3</t>
        </is>
      </c>
      <c r="U33" s="57" t="inlineStr">
        <is>
          <t>M1</t>
        </is>
      </c>
      <c r="V33" s="57" t="inlineStr">
        <is>
          <t>M2</t>
        </is>
      </c>
      <c r="W33" s="57" t="inlineStr">
        <is>
          <t>A1</t>
        </is>
      </c>
      <c r="X33" s="57" t="inlineStr">
        <is>
          <t>N1</t>
        </is>
      </c>
      <c r="Y33" s="57" t="inlineStr">
        <is>
          <t>N2</t>
        </is>
      </c>
      <c r="Z33" s="57" t="inlineStr">
        <is>
          <t>O1</t>
        </is>
      </c>
      <c r="AA33" s="57" t="inlineStr">
        <is>
          <t>O2</t>
        </is>
      </c>
      <c r="AB33" s="57" t="inlineStr">
        <is>
          <t>O3</t>
        </is>
      </c>
      <c r="AC33" s="57" t="inlineStr">
        <is>
          <t>M1</t>
        </is>
      </c>
      <c r="AD33" s="57" t="inlineStr">
        <is>
          <t>A1</t>
        </is>
      </c>
      <c r="AE33" s="57" t="inlineStr">
        <is>
          <t>N1</t>
        </is>
      </c>
      <c r="AF33" s="57" t="inlineStr">
        <is>
          <t>N2</t>
        </is>
      </c>
      <c r="AG33" s="57" t="inlineStr">
        <is>
          <t>N2</t>
        </is>
      </c>
      <c r="AH33" s="57" t="inlineStr">
        <is>
          <t>O1</t>
        </is>
      </c>
      <c r="AI33" s="25" t="inlineStr">
        <is>
          <t>O2</t>
        </is>
      </c>
      <c r="AJ33" s="24" t="n"/>
      <c r="AL33" s="56">
        <f>COUNTIF($F33:$AJ33,"ST*")</f>
        <v/>
      </c>
      <c r="AM33" s="56">
        <f>COUNTIF($F33:$AJ33,"M*")</f>
        <v/>
      </c>
      <c r="AN33" s="56">
        <f>COUNTIF($F33:$AJ33,"A*")</f>
        <v/>
      </c>
      <c r="AO33" s="56">
        <f>COUNTIF($F33:$AJ33,"N*")</f>
        <v/>
      </c>
      <c r="AP33" s="56">
        <f>COUNTIF($F33:$AJ33,"O*")</f>
        <v/>
      </c>
    </row>
    <row r="34">
      <c r="B34" s="37" t="n">
        <v>30</v>
      </c>
      <c r="C34" s="92" t="inlineStr">
        <is>
          <t>Ahmed Al Hashmi - 82616</t>
        </is>
      </c>
      <c r="D34" s="134" t="n"/>
      <c r="F34" s="57" t="inlineStr">
        <is>
          <t>A1</t>
        </is>
      </c>
      <c r="G34" s="57" t="inlineStr">
        <is>
          <t>N1</t>
        </is>
      </c>
      <c r="H34" s="57" t="inlineStr">
        <is>
          <t>N2</t>
        </is>
      </c>
      <c r="I34" s="57" t="inlineStr">
        <is>
          <t>O1</t>
        </is>
      </c>
      <c r="J34" s="57" t="inlineStr">
        <is>
          <t>O2</t>
        </is>
      </c>
      <c r="K34" s="57" t="inlineStr">
        <is>
          <t>O3</t>
        </is>
      </c>
      <c r="L34" s="57" t="inlineStr">
        <is>
          <t>M1</t>
        </is>
      </c>
      <c r="M34" s="57" t="inlineStr">
        <is>
          <t>M2</t>
        </is>
      </c>
      <c r="N34" s="57" t="inlineStr">
        <is>
          <t>A1</t>
        </is>
      </c>
      <c r="O34" s="57" t="inlineStr">
        <is>
          <t>N1</t>
        </is>
      </c>
      <c r="P34" s="57" t="inlineStr">
        <is>
          <t>N2</t>
        </is>
      </c>
      <c r="Q34" s="57" t="inlineStr">
        <is>
          <t>O1</t>
        </is>
      </c>
      <c r="R34" s="57" t="inlineStr">
        <is>
          <t>O2</t>
        </is>
      </c>
      <c r="S34" s="57" t="inlineStr">
        <is>
          <t>O3</t>
        </is>
      </c>
      <c r="T34" s="57" t="inlineStr">
        <is>
          <t>M1</t>
        </is>
      </c>
      <c r="U34" s="57" t="inlineStr">
        <is>
          <t>TR</t>
        </is>
      </c>
      <c r="V34" s="57" t="inlineStr">
        <is>
          <t>TR</t>
        </is>
      </c>
      <c r="W34" s="57" t="inlineStr">
        <is>
          <t>TR</t>
        </is>
      </c>
      <c r="X34" s="57" t="inlineStr">
        <is>
          <t>N2</t>
        </is>
      </c>
      <c r="Y34" s="57" t="inlineStr">
        <is>
          <t>O1</t>
        </is>
      </c>
      <c r="Z34" s="57" t="inlineStr">
        <is>
          <t>O2</t>
        </is>
      </c>
      <c r="AA34" s="57" t="inlineStr">
        <is>
          <t>O3</t>
        </is>
      </c>
      <c r="AB34" s="63" t="n"/>
      <c r="AC34" s="63" t="n"/>
      <c r="AD34" s="63" t="n"/>
      <c r="AE34" s="63" t="n"/>
      <c r="AF34" s="63" t="n"/>
      <c r="AG34" s="57" t="inlineStr">
        <is>
          <t>O1</t>
        </is>
      </c>
      <c r="AH34" s="57" t="inlineStr">
        <is>
          <t>O2</t>
        </is>
      </c>
      <c r="AI34" s="25" t="inlineStr">
        <is>
          <t>O3</t>
        </is>
      </c>
      <c r="AJ34" s="25" t="n"/>
      <c r="AL34" s="56">
        <f>COUNTIF($F34:$AJ34,"ST*")</f>
        <v/>
      </c>
      <c r="AM34" s="56">
        <f>COUNTIF($F34:$AJ34,"M*")</f>
        <v/>
      </c>
      <c r="AN34" s="56">
        <f>COUNTIF($F34:$AJ34,"A*")</f>
        <v/>
      </c>
      <c r="AO34" s="56">
        <f>COUNTIF($F34:$AJ34,"N*")</f>
        <v/>
      </c>
      <c r="AP34" s="56">
        <f>COUNTIF($F34:$AJ34,"O*")</f>
        <v/>
      </c>
    </row>
    <row r="35" ht="18.75" customHeight="1" s="6">
      <c r="B35" s="37" t="n">
        <v>31</v>
      </c>
      <c r="C35" s="92" t="inlineStr">
        <is>
          <t>Ghaith Al Habsi - 82439</t>
        </is>
      </c>
      <c r="D35" s="134" t="n"/>
      <c r="F35" s="57" t="inlineStr">
        <is>
          <t>N1</t>
        </is>
      </c>
      <c r="G35" s="57" t="inlineStr">
        <is>
          <t>N2</t>
        </is>
      </c>
      <c r="H35" s="57" t="inlineStr">
        <is>
          <t>O1</t>
        </is>
      </c>
      <c r="I35" s="57" t="inlineStr">
        <is>
          <t>O2</t>
        </is>
      </c>
      <c r="J35" s="57" t="inlineStr">
        <is>
          <t>O3</t>
        </is>
      </c>
      <c r="K35" s="57" t="inlineStr">
        <is>
          <t>M1</t>
        </is>
      </c>
      <c r="L35" s="57" t="inlineStr">
        <is>
          <t>M2</t>
        </is>
      </c>
      <c r="M35" s="57" t="inlineStr">
        <is>
          <t>A1</t>
        </is>
      </c>
      <c r="N35" s="57" t="inlineStr">
        <is>
          <t>N1</t>
        </is>
      </c>
      <c r="O35" s="57" t="inlineStr">
        <is>
          <t>N2</t>
        </is>
      </c>
      <c r="P35" s="57" t="inlineStr">
        <is>
          <t>O1</t>
        </is>
      </c>
      <c r="Q35" s="57" t="inlineStr">
        <is>
          <t>O2</t>
        </is>
      </c>
      <c r="R35" s="57" t="inlineStr">
        <is>
          <t>O3</t>
        </is>
      </c>
      <c r="S35" s="57" t="inlineStr">
        <is>
          <t>M1</t>
        </is>
      </c>
      <c r="T35" s="57" t="inlineStr">
        <is>
          <t>M2</t>
        </is>
      </c>
      <c r="U35" s="57" t="inlineStr">
        <is>
          <t>A1</t>
        </is>
      </c>
      <c r="V35" s="57" t="inlineStr">
        <is>
          <t>N1</t>
        </is>
      </c>
      <c r="W35" s="57" t="inlineStr">
        <is>
          <t>N2</t>
        </is>
      </c>
      <c r="X35" s="57" t="inlineStr">
        <is>
          <t>O1</t>
        </is>
      </c>
      <c r="Y35" s="57" t="inlineStr">
        <is>
          <t>O2</t>
        </is>
      </c>
      <c r="Z35" s="57" t="inlineStr">
        <is>
          <t>O3</t>
        </is>
      </c>
      <c r="AA35" s="57" t="inlineStr">
        <is>
          <t>M1</t>
        </is>
      </c>
      <c r="AB35" s="57" t="inlineStr">
        <is>
          <t>M2</t>
        </is>
      </c>
      <c r="AC35" s="57" t="inlineStr">
        <is>
          <t>A1</t>
        </is>
      </c>
      <c r="AD35" s="57" t="inlineStr">
        <is>
          <t>N1</t>
        </is>
      </c>
      <c r="AE35" s="57" t="inlineStr">
        <is>
          <t>N2</t>
        </is>
      </c>
      <c r="AF35" s="57" t="inlineStr">
        <is>
          <t>O1</t>
        </is>
      </c>
      <c r="AG35" s="57" t="inlineStr">
        <is>
          <t>O2</t>
        </is>
      </c>
      <c r="AH35" s="57" t="inlineStr">
        <is>
          <t>O3</t>
        </is>
      </c>
      <c r="AI35" s="25" t="inlineStr">
        <is>
          <t>M1</t>
        </is>
      </c>
      <c r="AJ35" s="24" t="n"/>
      <c r="AL35" s="56">
        <f>COUNTIF($F35:$AJ35,"ST*")</f>
        <v/>
      </c>
      <c r="AM35" s="56">
        <f>COUNTIF($F35:$AJ35,"M*")</f>
        <v/>
      </c>
      <c r="AN35" s="56">
        <f>COUNTIF($F35:$AJ35,"A*")</f>
        <v/>
      </c>
      <c r="AO35" s="56">
        <f>COUNTIF($F35:$AJ35,"N*")</f>
        <v/>
      </c>
      <c r="AP35" s="56">
        <f>COUNTIF($F35:$AJ35,"O*")</f>
        <v/>
      </c>
    </row>
    <row r="36" ht="18.75" customHeight="1" s="6">
      <c r="B36" s="37" t="n">
        <v>32</v>
      </c>
      <c r="C36" s="92" t="inlineStr">
        <is>
          <t>Mohamed Al Maskari - 82661</t>
        </is>
      </c>
      <c r="D36" s="134" t="n"/>
      <c r="F36" s="57" t="inlineStr">
        <is>
          <t>N2</t>
        </is>
      </c>
      <c r="G36" s="57" t="inlineStr">
        <is>
          <t>O1</t>
        </is>
      </c>
      <c r="H36" s="57" t="inlineStr">
        <is>
          <t>O2</t>
        </is>
      </c>
      <c r="I36" s="57" t="inlineStr">
        <is>
          <t>O3</t>
        </is>
      </c>
      <c r="J36" s="57" t="inlineStr">
        <is>
          <t>M1</t>
        </is>
      </c>
      <c r="K36" s="57" t="inlineStr">
        <is>
          <t>M2</t>
        </is>
      </c>
      <c r="L36" s="57" t="inlineStr">
        <is>
          <t>A1</t>
        </is>
      </c>
      <c r="M36" s="57" t="inlineStr">
        <is>
          <t>N1</t>
        </is>
      </c>
      <c r="N36" s="57" t="inlineStr">
        <is>
          <t>N2</t>
        </is>
      </c>
      <c r="O36" s="57" t="inlineStr">
        <is>
          <t>O1</t>
        </is>
      </c>
      <c r="P36" s="57" t="inlineStr">
        <is>
          <t>O2</t>
        </is>
      </c>
      <c r="Q36" s="57" t="inlineStr">
        <is>
          <t>O3</t>
        </is>
      </c>
      <c r="R36" s="57" t="inlineStr">
        <is>
          <t>TR</t>
        </is>
      </c>
      <c r="S36" s="57" t="inlineStr">
        <is>
          <t>A1</t>
        </is>
      </c>
      <c r="T36" s="57" t="inlineStr">
        <is>
          <t>A2</t>
        </is>
      </c>
      <c r="U36" s="57" t="inlineStr">
        <is>
          <t>N1</t>
        </is>
      </c>
      <c r="V36" s="57" t="inlineStr">
        <is>
          <t>N2</t>
        </is>
      </c>
      <c r="W36" s="57" t="inlineStr">
        <is>
          <t>O1</t>
        </is>
      </c>
      <c r="X36" s="57" t="inlineStr">
        <is>
          <t>O2</t>
        </is>
      </c>
      <c r="Y36" s="57" t="inlineStr">
        <is>
          <t>O3</t>
        </is>
      </c>
      <c r="Z36" s="57" t="inlineStr">
        <is>
          <t>M1</t>
        </is>
      </c>
      <c r="AA36" s="57" t="inlineStr">
        <is>
          <t>A1</t>
        </is>
      </c>
      <c r="AB36" s="57" t="inlineStr">
        <is>
          <t>A2</t>
        </is>
      </c>
      <c r="AC36" s="57" t="inlineStr">
        <is>
          <t>N1</t>
        </is>
      </c>
      <c r="AD36" s="57" t="inlineStr">
        <is>
          <t>N2</t>
        </is>
      </c>
      <c r="AE36" s="57" t="inlineStr">
        <is>
          <t>O1</t>
        </is>
      </c>
      <c r="AF36" s="57" t="inlineStr">
        <is>
          <t>O2</t>
        </is>
      </c>
      <c r="AG36" s="57" t="inlineStr">
        <is>
          <t>O3</t>
        </is>
      </c>
      <c r="AH36" s="57" t="inlineStr">
        <is>
          <t>M1</t>
        </is>
      </c>
      <c r="AI36" s="25" t="inlineStr">
        <is>
          <t>M2</t>
        </is>
      </c>
      <c r="AJ36" s="25" t="n"/>
      <c r="AL36" s="56">
        <f>COUNTIF($F36:$AJ36,"ST*")</f>
        <v/>
      </c>
      <c r="AM36" s="56">
        <f>COUNTIF($F36:$AJ36,"M*")</f>
        <v/>
      </c>
      <c r="AN36" s="56">
        <f>COUNTIF($F36:$AJ36,"A*")</f>
        <v/>
      </c>
      <c r="AO36" s="56">
        <f>COUNTIF($F36:$AJ36,"N*")</f>
        <v/>
      </c>
      <c r="AP36" s="56">
        <f>COUNTIF($F36:$AJ36,"O*")</f>
        <v/>
      </c>
    </row>
    <row r="37" ht="18.75" customHeight="1" s="6">
      <c r="B37" s="37" t="n">
        <v>33</v>
      </c>
      <c r="C37" s="92" t="inlineStr">
        <is>
          <t>Khalid Al Raqadi - 8715</t>
        </is>
      </c>
      <c r="D37" s="134" t="n"/>
      <c r="F37" s="57" t="inlineStr">
        <is>
          <t>O1</t>
        </is>
      </c>
      <c r="G37" s="57" t="inlineStr">
        <is>
          <t>O2</t>
        </is>
      </c>
      <c r="H37" s="57" t="inlineStr">
        <is>
          <t>O3</t>
        </is>
      </c>
      <c r="I37" s="57" t="inlineStr">
        <is>
          <t>M1</t>
        </is>
      </c>
      <c r="J37" s="57" t="inlineStr">
        <is>
          <t>M2</t>
        </is>
      </c>
      <c r="K37" s="57" t="inlineStr">
        <is>
          <t>TR</t>
        </is>
      </c>
      <c r="L37" s="57" t="inlineStr">
        <is>
          <t>N1</t>
        </is>
      </c>
      <c r="M37" s="57" t="inlineStr">
        <is>
          <t>N2</t>
        </is>
      </c>
      <c r="N37" s="57" t="inlineStr">
        <is>
          <t>O1</t>
        </is>
      </c>
      <c r="O37" s="57" t="inlineStr">
        <is>
          <t>O2</t>
        </is>
      </c>
      <c r="P37" s="57" t="inlineStr">
        <is>
          <t>O3</t>
        </is>
      </c>
      <c r="Q37" s="57" t="inlineStr">
        <is>
          <t>M1</t>
        </is>
      </c>
      <c r="R37" s="57" t="inlineStr">
        <is>
          <t>M2</t>
        </is>
      </c>
      <c r="S37" s="57" t="inlineStr">
        <is>
          <t>A1</t>
        </is>
      </c>
      <c r="T37" s="57" t="inlineStr">
        <is>
          <t>N1</t>
        </is>
      </c>
      <c r="U37" s="57" t="inlineStr">
        <is>
          <t>N2</t>
        </is>
      </c>
      <c r="V37" s="57" t="inlineStr">
        <is>
          <t>O1</t>
        </is>
      </c>
      <c r="W37" s="57" t="inlineStr">
        <is>
          <t>O2</t>
        </is>
      </c>
      <c r="X37" s="57" t="inlineStr">
        <is>
          <t>O3</t>
        </is>
      </c>
      <c r="Y37" s="57" t="inlineStr">
        <is>
          <t>M1</t>
        </is>
      </c>
      <c r="Z37" s="57" t="inlineStr">
        <is>
          <t>M2</t>
        </is>
      </c>
      <c r="AA37" s="57" t="inlineStr">
        <is>
          <t>A1</t>
        </is>
      </c>
      <c r="AB37" s="57" t="inlineStr">
        <is>
          <t>N1</t>
        </is>
      </c>
      <c r="AC37" s="57" t="inlineStr">
        <is>
          <t>N2</t>
        </is>
      </c>
      <c r="AD37" s="57" t="inlineStr">
        <is>
          <t>O1</t>
        </is>
      </c>
      <c r="AE37" s="57" t="inlineStr">
        <is>
          <t>O2</t>
        </is>
      </c>
      <c r="AF37" s="57" t="inlineStr">
        <is>
          <t>O3</t>
        </is>
      </c>
      <c r="AG37" s="57" t="inlineStr">
        <is>
          <t>STM1</t>
        </is>
      </c>
      <c r="AH37" s="57" t="inlineStr">
        <is>
          <t>M2</t>
        </is>
      </c>
      <c r="AI37" s="25" t="inlineStr">
        <is>
          <t>TR</t>
        </is>
      </c>
      <c r="AJ37" s="25" t="n"/>
      <c r="AL37" s="56">
        <f>COUNTIF($F37:$AJ37,"ST*")</f>
        <v/>
      </c>
      <c r="AM37" s="56">
        <f>COUNTIF($F37:$AJ37,"M*")</f>
        <v/>
      </c>
      <c r="AN37" s="56">
        <f>COUNTIF($F37:$AJ37,"A*")</f>
        <v/>
      </c>
      <c r="AO37" s="56">
        <f>COUNTIF($F37:$AJ37,"N*")</f>
        <v/>
      </c>
      <c r="AP37" s="56">
        <f>COUNTIF($F37:$AJ37,"O*")</f>
        <v/>
      </c>
    </row>
    <row r="38" ht="18.75" customHeight="1" s="6">
      <c r="B38" s="37" t="n">
        <v>34</v>
      </c>
      <c r="C38" s="99" t="inlineStr">
        <is>
          <t>Adil Al Zadjali - 8584 (Support)</t>
        </is>
      </c>
      <c r="D38" s="134" t="n"/>
      <c r="F38" s="57" t="inlineStr">
        <is>
          <t>O2</t>
        </is>
      </c>
      <c r="G38" s="57" t="inlineStr">
        <is>
          <t>M1</t>
        </is>
      </c>
      <c r="H38" s="57" t="inlineStr">
        <is>
          <t>M2</t>
        </is>
      </c>
      <c r="I38" s="57" t="inlineStr">
        <is>
          <t>M3</t>
        </is>
      </c>
      <c r="J38" s="57" t="inlineStr">
        <is>
          <t>A1</t>
        </is>
      </c>
      <c r="K38" s="57" t="inlineStr">
        <is>
          <t>TR</t>
        </is>
      </c>
      <c r="L38" s="57" t="inlineStr">
        <is>
          <t>O1</t>
        </is>
      </c>
      <c r="M38" s="57" t="inlineStr">
        <is>
          <t>O2</t>
        </is>
      </c>
      <c r="N38" s="57" t="inlineStr">
        <is>
          <t>M1</t>
        </is>
      </c>
      <c r="O38" s="57" t="inlineStr">
        <is>
          <t>TR</t>
        </is>
      </c>
      <c r="P38" s="57" t="inlineStr">
        <is>
          <t>M3</t>
        </is>
      </c>
      <c r="Q38" s="57" t="inlineStr">
        <is>
          <t>TR</t>
        </is>
      </c>
      <c r="R38" s="57" t="inlineStr">
        <is>
          <t>A2</t>
        </is>
      </c>
      <c r="S38" s="57" t="inlineStr">
        <is>
          <t>O1</t>
        </is>
      </c>
      <c r="T38" s="57" t="inlineStr">
        <is>
          <t>O2</t>
        </is>
      </c>
      <c r="U38" s="57" t="inlineStr">
        <is>
          <t>M1</t>
        </is>
      </c>
      <c r="V38" s="57" t="inlineStr">
        <is>
          <t>M2</t>
        </is>
      </c>
      <c r="W38" s="57" t="inlineStr">
        <is>
          <t>M3</t>
        </is>
      </c>
      <c r="X38" s="57" t="inlineStr">
        <is>
          <t>A1</t>
        </is>
      </c>
      <c r="Y38" s="57" t="inlineStr">
        <is>
          <t>A2</t>
        </is>
      </c>
      <c r="Z38" s="57" t="inlineStr">
        <is>
          <t>O1</t>
        </is>
      </c>
      <c r="AA38" s="57" t="inlineStr">
        <is>
          <t>O2</t>
        </is>
      </c>
      <c r="AB38" s="57" t="inlineStr">
        <is>
          <t>M1</t>
        </is>
      </c>
      <c r="AC38" s="57" t="inlineStr">
        <is>
          <t>M2</t>
        </is>
      </c>
      <c r="AD38" s="57" t="inlineStr">
        <is>
          <t>TR</t>
        </is>
      </c>
      <c r="AE38" s="57" t="inlineStr">
        <is>
          <t>A1</t>
        </is>
      </c>
      <c r="AF38" s="57" t="inlineStr">
        <is>
          <t>A2</t>
        </is>
      </c>
      <c r="AG38" s="57" t="inlineStr">
        <is>
          <t>O1</t>
        </is>
      </c>
      <c r="AH38" s="57" t="inlineStr">
        <is>
          <t>O2</t>
        </is>
      </c>
      <c r="AI38" s="25" t="inlineStr">
        <is>
          <t>M1</t>
        </is>
      </c>
      <c r="AJ38" s="25" t="n"/>
      <c r="AL38" s="56">
        <f>COUNTIF($F38:$AJ38,"ST*")</f>
        <v/>
      </c>
      <c r="AM38" s="56">
        <f>COUNTIF($F38:$AJ38,"M*")</f>
        <v/>
      </c>
      <c r="AN38" s="56">
        <f>COUNTIF($F38:$AJ38,"A*")</f>
        <v/>
      </c>
      <c r="AO38" s="56">
        <f>COUNTIF($F38:$AJ38,"N*")</f>
        <v/>
      </c>
      <c r="AP38" s="56">
        <f>COUNTIF($F38:$AJ38,"O*")</f>
        <v/>
      </c>
    </row>
    <row r="39" ht="18.75" customHeight="1" s="6">
      <c r="B39" s="37" t="n">
        <v>35</v>
      </c>
      <c r="C39" s="99" t="inlineStr">
        <is>
          <t>Ahmed Al Bakari - 81832 (Support)</t>
        </is>
      </c>
      <c r="D39" s="134" t="n"/>
      <c r="F39" s="57" t="inlineStr">
        <is>
          <t>O2</t>
        </is>
      </c>
      <c r="G39" s="57" t="inlineStr">
        <is>
          <t>A1</t>
        </is>
      </c>
      <c r="H39" s="57" t="inlineStr">
        <is>
          <t>A2</t>
        </is>
      </c>
      <c r="I39" s="57" t="inlineStr">
        <is>
          <t>A3</t>
        </is>
      </c>
      <c r="J39" s="57" t="inlineStr">
        <is>
          <t>M1</t>
        </is>
      </c>
      <c r="K39" s="57" t="inlineStr">
        <is>
          <t>M2</t>
        </is>
      </c>
      <c r="L39" s="57" t="inlineStr">
        <is>
          <t>O1</t>
        </is>
      </c>
      <c r="M39" s="57" t="inlineStr">
        <is>
          <t>O2</t>
        </is>
      </c>
      <c r="N39" s="57" t="inlineStr">
        <is>
          <t>A1</t>
        </is>
      </c>
      <c r="O39" s="57" t="inlineStr">
        <is>
          <t>TR</t>
        </is>
      </c>
      <c r="P39" s="57" t="inlineStr">
        <is>
          <t>A3</t>
        </is>
      </c>
      <c r="Q39" s="57" t="inlineStr">
        <is>
          <t>M1</t>
        </is>
      </c>
      <c r="R39" s="57" t="inlineStr">
        <is>
          <t>M2</t>
        </is>
      </c>
      <c r="S39" s="57" t="inlineStr">
        <is>
          <t>O1</t>
        </is>
      </c>
      <c r="T39" s="57" t="inlineStr">
        <is>
          <t>O2</t>
        </is>
      </c>
      <c r="U39" s="57" t="inlineStr">
        <is>
          <t>A1</t>
        </is>
      </c>
      <c r="V39" s="57" t="inlineStr">
        <is>
          <t>A2</t>
        </is>
      </c>
      <c r="W39" s="57" t="inlineStr">
        <is>
          <t>A3</t>
        </is>
      </c>
      <c r="X39" s="57" t="inlineStr">
        <is>
          <t>M1</t>
        </is>
      </c>
      <c r="Y39" s="57" t="inlineStr">
        <is>
          <t>M2</t>
        </is>
      </c>
      <c r="Z39" s="57" t="inlineStr">
        <is>
          <t>O1</t>
        </is>
      </c>
      <c r="AA39" s="57" t="inlineStr">
        <is>
          <t>O2</t>
        </is>
      </c>
      <c r="AB39" s="57" t="inlineStr">
        <is>
          <t>A1</t>
        </is>
      </c>
      <c r="AC39" s="57" t="inlineStr">
        <is>
          <t>A2</t>
        </is>
      </c>
      <c r="AD39" s="57" t="inlineStr">
        <is>
          <t>A3</t>
        </is>
      </c>
      <c r="AE39" s="57" t="inlineStr">
        <is>
          <t>M1</t>
        </is>
      </c>
      <c r="AF39" s="57" t="inlineStr">
        <is>
          <t>M2</t>
        </is>
      </c>
      <c r="AG39" s="57" t="inlineStr">
        <is>
          <t>O1</t>
        </is>
      </c>
      <c r="AH39" s="57" t="inlineStr">
        <is>
          <t>O2</t>
        </is>
      </c>
      <c r="AI39" s="25" t="inlineStr">
        <is>
          <t>A1</t>
        </is>
      </c>
      <c r="AJ39" s="25" t="n"/>
      <c r="AL39" s="56">
        <f>COUNTIF($F39:$AJ39,"ST*")</f>
        <v/>
      </c>
      <c r="AM39" s="56">
        <f>COUNTIF($F39:$AJ39,"M*")</f>
        <v/>
      </c>
      <c r="AN39" s="56">
        <f>COUNTIF($F39:$AJ39,"A*")</f>
        <v/>
      </c>
      <c r="AO39" s="56">
        <f>COUNTIF($F39:$AJ39,"N*")</f>
        <v/>
      </c>
      <c r="AP39" s="56">
        <f>COUNTIF($F39:$AJ39,"O*")</f>
        <v/>
      </c>
    </row>
    <row r="40">
      <c r="B40" s="37" t="n">
        <v>36</v>
      </c>
      <c r="C40" s="99" t="inlineStr">
        <is>
          <t>Mudrik Al Harthi - 82670 (Inventory)</t>
        </is>
      </c>
      <c r="D40" s="134" t="n"/>
      <c r="F40" s="57" t="inlineStr">
        <is>
          <t>A1</t>
        </is>
      </c>
      <c r="G40" s="57" t="inlineStr">
        <is>
          <t>A2</t>
        </is>
      </c>
      <c r="H40" s="57" t="inlineStr">
        <is>
          <t>A3</t>
        </is>
      </c>
      <c r="I40" s="57" t="inlineStr">
        <is>
          <t>M1</t>
        </is>
      </c>
      <c r="J40" s="57" t="inlineStr">
        <is>
          <t>M2</t>
        </is>
      </c>
      <c r="K40" s="57" t="inlineStr">
        <is>
          <t>O1</t>
        </is>
      </c>
      <c r="L40" s="57" t="inlineStr">
        <is>
          <t>O2</t>
        </is>
      </c>
      <c r="M40" s="57" t="inlineStr">
        <is>
          <t>A1</t>
        </is>
      </c>
      <c r="N40" s="57" t="inlineStr">
        <is>
          <t>A2</t>
        </is>
      </c>
      <c r="O40" s="57" t="inlineStr">
        <is>
          <t>A3</t>
        </is>
      </c>
      <c r="P40" s="57" t="inlineStr">
        <is>
          <t>M1</t>
        </is>
      </c>
      <c r="Q40" s="57" t="inlineStr">
        <is>
          <t>M2</t>
        </is>
      </c>
      <c r="R40" s="57" t="inlineStr">
        <is>
          <t>O1</t>
        </is>
      </c>
      <c r="S40" s="57" t="inlineStr">
        <is>
          <t>O2</t>
        </is>
      </c>
      <c r="T40" s="57" t="inlineStr">
        <is>
          <t>A1</t>
        </is>
      </c>
      <c r="U40" s="57" t="inlineStr">
        <is>
          <t>A2</t>
        </is>
      </c>
      <c r="V40" s="57" t="inlineStr">
        <is>
          <t>A3</t>
        </is>
      </c>
      <c r="W40" s="57" t="inlineStr">
        <is>
          <t>M1</t>
        </is>
      </c>
      <c r="X40" s="57" t="inlineStr">
        <is>
          <t>M2</t>
        </is>
      </c>
      <c r="Y40" s="57" t="inlineStr">
        <is>
          <t>O1</t>
        </is>
      </c>
      <c r="Z40" s="57" t="inlineStr">
        <is>
          <t>O2</t>
        </is>
      </c>
      <c r="AA40" s="57" t="inlineStr">
        <is>
          <t>A1</t>
        </is>
      </c>
      <c r="AB40" s="57" t="inlineStr">
        <is>
          <t>A2</t>
        </is>
      </c>
      <c r="AC40" s="57" t="inlineStr">
        <is>
          <t>A3</t>
        </is>
      </c>
      <c r="AD40" s="57" t="inlineStr">
        <is>
          <t>M1</t>
        </is>
      </c>
      <c r="AE40" s="57" t="inlineStr">
        <is>
          <t>M2</t>
        </is>
      </c>
      <c r="AF40" s="57" t="inlineStr">
        <is>
          <t>O1</t>
        </is>
      </c>
      <c r="AG40" s="57" t="inlineStr">
        <is>
          <t>O2</t>
        </is>
      </c>
      <c r="AH40" s="57" t="inlineStr">
        <is>
          <t>A1</t>
        </is>
      </c>
      <c r="AI40" s="25" t="inlineStr">
        <is>
          <t>A2</t>
        </is>
      </c>
      <c r="AJ40" s="25" t="n"/>
      <c r="AL40" s="56">
        <f>COUNTIF($F40:$AJ40,"ST*")</f>
        <v/>
      </c>
      <c r="AM40" s="56">
        <f>COUNTIF($F40:$AJ40,"M*")</f>
        <v/>
      </c>
      <c r="AN40" s="56">
        <f>COUNTIF($F40:$AJ40,"A*")</f>
        <v/>
      </c>
      <c r="AO40" s="56">
        <f>COUNTIF($F40:$AJ40,"N*")</f>
        <v/>
      </c>
      <c r="AP40" s="56">
        <f>COUNTIF($F40:$AJ40,"O*")</f>
        <v/>
      </c>
    </row>
    <row r="41">
      <c r="F41" s="20" t="inlineStr">
        <is>
          <t xml:space="preserve"> </t>
        </is>
      </c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  <c r="AE41" s="20" t="n"/>
      <c r="AF41" s="20" t="n"/>
      <c r="AG41" s="20" t="n"/>
      <c r="AH41" s="20" t="n"/>
      <c r="AI41" s="20" t="n"/>
    </row>
    <row r="42" ht="18.75" customHeight="1" s="6">
      <c r="C42" s="90" t="inlineStr">
        <is>
          <t xml:space="preserve">Morning Shift </t>
        </is>
      </c>
      <c r="D42" s="134" t="n"/>
      <c r="E42" s="36" t="n"/>
      <c r="F42" s="37">
        <f>COUNTIF(F$5:F$37,"M*")</f>
        <v/>
      </c>
      <c r="G42" s="37">
        <f>COUNTIF(G$5:G$37,"M*")</f>
        <v/>
      </c>
      <c r="H42" s="37">
        <f>COUNTIF(H$5:H$37,"M*")</f>
        <v/>
      </c>
      <c r="I42" s="37">
        <f>COUNTIF(I$5:I$37,"M*")</f>
        <v/>
      </c>
      <c r="J42" s="37">
        <f>COUNTIF(J$5:J$37,"M*")</f>
        <v/>
      </c>
      <c r="K42" s="37">
        <f>COUNTIF(K$5:K$37,"M*")</f>
        <v/>
      </c>
      <c r="L42" s="37">
        <f>COUNTIF(L$5:L$37,"M*")</f>
        <v/>
      </c>
      <c r="M42" s="37">
        <f>COUNTIF(M$5:M$37,"M*")</f>
        <v/>
      </c>
      <c r="N42" s="37">
        <f>COUNTIF(N$5:N$37,"M*")</f>
        <v/>
      </c>
      <c r="O42" s="37">
        <f>COUNTIF(O$5:O$37,"M*")</f>
        <v/>
      </c>
      <c r="P42" s="37">
        <f>COUNTIF(P$5:P$37,"M*")</f>
        <v/>
      </c>
      <c r="Q42" s="37">
        <f>COUNTIF(Q$5:Q$37,"M*")</f>
        <v/>
      </c>
      <c r="R42" s="37">
        <f>COUNTIF(R$5:R$37,"M*")</f>
        <v/>
      </c>
      <c r="S42" s="37">
        <f>COUNTIF(S$5:S$37,"M*")</f>
        <v/>
      </c>
      <c r="T42" s="37">
        <f>COUNTIF(T$5:T$37,"M*")</f>
        <v/>
      </c>
      <c r="U42" s="37">
        <f>COUNTIF(U$5:U$37,"M*")</f>
        <v/>
      </c>
      <c r="V42" s="37">
        <f>COUNTIF(V$5:V$37,"M*")</f>
        <v/>
      </c>
      <c r="W42" s="37">
        <f>COUNTIF(W$5:W$37,"M*")</f>
        <v/>
      </c>
      <c r="X42" s="37">
        <f>COUNTIF(X$5:X$37,"M*")</f>
        <v/>
      </c>
      <c r="Y42" s="37">
        <f>COUNTIF(Y$5:Y$37,"M*")</f>
        <v/>
      </c>
      <c r="Z42" s="37">
        <f>COUNTIF(Z$5:Z$37,"M*")</f>
        <v/>
      </c>
      <c r="AA42" s="37">
        <f>COUNTIF(AA$5:AA$37,"M*")</f>
        <v/>
      </c>
      <c r="AB42" s="37">
        <f>COUNTIF(AB$5:AB$37,"M*")</f>
        <v/>
      </c>
      <c r="AC42" s="37">
        <f>COUNTIF(AC$5:AC$37,"M*")</f>
        <v/>
      </c>
      <c r="AD42" s="37">
        <f>COUNTIF(AD$5:AD$37,"M*")</f>
        <v/>
      </c>
      <c r="AE42" s="37">
        <f>COUNTIF(AE$5:AE$37,"M*")</f>
        <v/>
      </c>
      <c r="AF42" s="37">
        <f>COUNTIF(AF$5:AF$37,"M*")</f>
        <v/>
      </c>
      <c r="AG42" s="37">
        <f>COUNTIF(AG$5:AG$37,"M*")</f>
        <v/>
      </c>
      <c r="AH42" s="37">
        <f>COUNTIF(AH$5:AH$37,"M*")</f>
        <v/>
      </c>
      <c r="AI42" s="37">
        <f>COUNTIF(AI$5:AI$37,"M*")</f>
        <v/>
      </c>
      <c r="AJ42" s="37">
        <f>COUNTIF(AJ$5:AJ$37,"M*")</f>
        <v/>
      </c>
    </row>
    <row r="43" ht="18.75" customHeight="1" s="6">
      <c r="C43" s="90" t="inlineStr">
        <is>
          <t xml:space="preserve">Afternoon Shift </t>
        </is>
      </c>
      <c r="D43" s="134" t="n"/>
      <c r="E43" s="36" t="n"/>
      <c r="F43" s="37">
        <f>COUNTIF(F$5:F$37,"A*")</f>
        <v/>
      </c>
      <c r="G43" s="37">
        <f>COUNTIF(G$5:G$37,"A*")</f>
        <v/>
      </c>
      <c r="H43" s="37">
        <f>COUNTIF(H$5:H$37,"A*")</f>
        <v/>
      </c>
      <c r="I43" s="37">
        <f>COUNTIF(I$5:I$37,"A*")</f>
        <v/>
      </c>
      <c r="J43" s="37">
        <f>COUNTIF(J$5:J$37,"A*")</f>
        <v/>
      </c>
      <c r="K43" s="37">
        <f>COUNTIF(K$5:K$37,"A*")</f>
        <v/>
      </c>
      <c r="L43" s="37">
        <f>COUNTIF(L$5:L$37,"A*")</f>
        <v/>
      </c>
      <c r="M43" s="37">
        <f>COUNTIF(M$5:M$37,"A*")</f>
        <v/>
      </c>
      <c r="N43" s="37">
        <f>COUNTIF(N$5:N$37,"A*")</f>
        <v/>
      </c>
      <c r="O43" s="37">
        <f>COUNTIF(O$5:O$37,"A*")</f>
        <v/>
      </c>
      <c r="P43" s="37">
        <f>COUNTIF(P$5:P$37,"A*")</f>
        <v/>
      </c>
      <c r="Q43" s="37">
        <f>COUNTIF(Q$5:Q$37,"A*")</f>
        <v/>
      </c>
      <c r="R43" s="37">
        <f>COUNTIF(R$5:R$37,"A*")</f>
        <v/>
      </c>
      <c r="S43" s="37">
        <f>COUNTIF(S$5:S$37,"A*")</f>
        <v/>
      </c>
      <c r="T43" s="37">
        <f>COUNTIF(T$5:T$37,"A*")</f>
        <v/>
      </c>
      <c r="U43" s="37">
        <f>COUNTIF(U$5:U$37,"A*")</f>
        <v/>
      </c>
      <c r="V43" s="37">
        <f>COUNTIF(V$5:V$37,"A*")</f>
        <v/>
      </c>
      <c r="W43" s="37">
        <f>COUNTIF(W$5:W$37,"A*")</f>
        <v/>
      </c>
      <c r="X43" s="37">
        <f>COUNTIF(X$5:X$37,"A*")</f>
        <v/>
      </c>
      <c r="Y43" s="37">
        <f>COUNTIF(Y$5:Y$37,"A*")</f>
        <v/>
      </c>
      <c r="Z43" s="37">
        <f>COUNTIF(Z$5:Z$37,"A*")</f>
        <v/>
      </c>
      <c r="AA43" s="37">
        <f>COUNTIF(AA$5:AA$37,"A*")</f>
        <v/>
      </c>
      <c r="AB43" s="37">
        <f>COUNTIF(AB$5:AB$37,"A*")</f>
        <v/>
      </c>
      <c r="AC43" s="37">
        <f>COUNTIF(AC$5:AC$37,"A*")</f>
        <v/>
      </c>
      <c r="AD43" s="37">
        <f>COUNTIF(AD$5:AD$37,"A*")</f>
        <v/>
      </c>
      <c r="AE43" s="37">
        <f>COUNTIF(AE$5:AE$37,"A*")</f>
        <v/>
      </c>
      <c r="AF43" s="37">
        <f>COUNTIF(AF$5:AF$37,"A*")</f>
        <v/>
      </c>
      <c r="AG43" s="37">
        <f>COUNTIF(AG$5:AG$37,"A*")</f>
        <v/>
      </c>
      <c r="AH43" s="37">
        <f>COUNTIF(AH$5:AH$37,"A*")</f>
        <v/>
      </c>
      <c r="AI43" s="37">
        <f>COUNTIF(AI$5:AI$37,"A*")</f>
        <v/>
      </c>
      <c r="AJ43" s="37">
        <f>COUNTIF(AJ$5:AJ$37,"A*")</f>
        <v/>
      </c>
    </row>
    <row r="44" ht="18.75" customHeight="1" s="6">
      <c r="C44" s="90" t="inlineStr">
        <is>
          <t xml:space="preserve">Night Shift </t>
        </is>
      </c>
      <c r="D44" s="134" t="n"/>
      <c r="E44" s="36" t="n"/>
      <c r="F44" s="37">
        <f>COUNTIF(F$5:F$37,"N*")</f>
        <v/>
      </c>
      <c r="G44" s="37">
        <f>COUNTIF(G$5:G$37,"N*")</f>
        <v/>
      </c>
      <c r="H44" s="37">
        <f>COUNTIF(H$5:H$37,"N*")</f>
        <v/>
      </c>
      <c r="I44" s="37">
        <f>COUNTIF(I$5:I$37,"N*")</f>
        <v/>
      </c>
      <c r="J44" s="37">
        <f>COUNTIF(J$5:J$37,"N*")</f>
        <v/>
      </c>
      <c r="K44" s="37">
        <f>COUNTIF(K$5:K$37,"N*")</f>
        <v/>
      </c>
      <c r="L44" s="37">
        <f>COUNTIF(L$5:L$37,"N*")</f>
        <v/>
      </c>
      <c r="M44" s="37">
        <f>COUNTIF(M$5:M$37,"N*")</f>
        <v/>
      </c>
      <c r="N44" s="37">
        <f>COUNTIF(N$5:N$37,"N*")</f>
        <v/>
      </c>
      <c r="O44" s="37">
        <f>COUNTIF(O$5:O$37,"N*")</f>
        <v/>
      </c>
      <c r="P44" s="37">
        <f>COUNTIF(P$5:P$37,"N*")</f>
        <v/>
      </c>
      <c r="Q44" s="37">
        <f>COUNTIF(Q$5:Q$37,"N*")</f>
        <v/>
      </c>
      <c r="R44" s="37">
        <f>COUNTIF(R$5:R$37,"N*")</f>
        <v/>
      </c>
      <c r="S44" s="37">
        <f>COUNTIF(S$5:S$37,"N*")</f>
        <v/>
      </c>
      <c r="T44" s="37">
        <f>COUNTIF(T$5:T$37,"N*")</f>
        <v/>
      </c>
      <c r="U44" s="37">
        <f>COUNTIF(U$5:U$37,"N*")</f>
        <v/>
      </c>
      <c r="V44" s="37">
        <f>COUNTIF(V$5:V$37,"N*")</f>
        <v/>
      </c>
      <c r="W44" s="37">
        <f>COUNTIF(W$5:W$37,"N*")</f>
        <v/>
      </c>
      <c r="X44" s="37">
        <f>COUNTIF(X$5:X$37,"N*")</f>
        <v/>
      </c>
      <c r="Y44" s="37">
        <f>COUNTIF(Y$5:Y$37,"N*")</f>
        <v/>
      </c>
      <c r="Z44" s="37">
        <f>COUNTIF(Z$5:Z$37,"N*")</f>
        <v/>
      </c>
      <c r="AA44" s="37">
        <f>COUNTIF(AA$5:AA$37,"N*")</f>
        <v/>
      </c>
      <c r="AB44" s="37">
        <f>COUNTIF(AB$5:AB$37,"N*")</f>
        <v/>
      </c>
      <c r="AC44" s="37">
        <f>COUNTIF(AC$5:AC$37,"N*")</f>
        <v/>
      </c>
      <c r="AD44" s="37">
        <f>COUNTIF(AD$5:AD$37,"N*")</f>
        <v/>
      </c>
      <c r="AE44" s="37">
        <f>COUNTIF(AE$5:AE$37,"N*")</f>
        <v/>
      </c>
      <c r="AF44" s="37">
        <f>COUNTIF(AF$5:AF$37,"N*")</f>
        <v/>
      </c>
      <c r="AG44" s="37">
        <f>COUNTIF(AG$5:AG$37,"N*")</f>
        <v/>
      </c>
      <c r="AH44" s="37">
        <f>COUNTIF(AH$5:AH$37,"N*")</f>
        <v/>
      </c>
      <c r="AI44" s="37">
        <f>COUNTIF(AI$5:AI$37,"N*")</f>
        <v/>
      </c>
      <c r="AJ44" s="37">
        <f>COUNTIF(AJ$5:AJ$37,"N*")</f>
        <v/>
      </c>
    </row>
    <row r="45" ht="18.75" customHeight="1" s="6">
      <c r="C45" s="90" t="inlineStr">
        <is>
          <t>Offday</t>
        </is>
      </c>
      <c r="D45" s="134" t="n"/>
      <c r="E45" s="36" t="n"/>
      <c r="F45" s="37">
        <f>COUNTIF(F$5:F$40,"O*")</f>
        <v/>
      </c>
      <c r="G45" s="37">
        <f>COUNTIF(G$5:G$40,"O*")</f>
        <v/>
      </c>
      <c r="H45" s="37">
        <f>COUNTIF(H$5:H$40,"O*")</f>
        <v/>
      </c>
      <c r="I45" s="37">
        <f>COUNTIF(I$5:I$40,"O*")</f>
        <v/>
      </c>
      <c r="J45" s="37">
        <f>COUNTIF(J$5:J$40,"O*")</f>
        <v/>
      </c>
      <c r="K45" s="37">
        <f>COUNTIF(K$5:K$40,"O*")</f>
        <v/>
      </c>
      <c r="L45" s="37">
        <f>COUNTIF(L$5:L$40,"O*")</f>
        <v/>
      </c>
      <c r="M45" s="37">
        <f>COUNTIF(M$5:M$40,"O*")</f>
        <v/>
      </c>
      <c r="N45" s="37">
        <f>COUNTIF(N$5:N$40,"O*")</f>
        <v/>
      </c>
      <c r="O45" s="37">
        <f>COUNTIF(O$5:O$40,"O*")</f>
        <v/>
      </c>
      <c r="P45" s="37">
        <f>COUNTIF(P$5:P$40,"O*")</f>
        <v/>
      </c>
      <c r="Q45" s="37">
        <f>COUNTIF(Q$5:Q$40,"O*")</f>
        <v/>
      </c>
      <c r="R45" s="37">
        <f>COUNTIF(R$5:R$40,"O*")</f>
        <v/>
      </c>
      <c r="S45" s="37">
        <f>COUNTIF(S$5:S$40,"O*")</f>
        <v/>
      </c>
      <c r="T45" s="37">
        <f>COUNTIF(T$5:T$40,"O*")</f>
        <v/>
      </c>
      <c r="U45" s="37">
        <f>COUNTIF(U$5:U$40,"O*")</f>
        <v/>
      </c>
      <c r="V45" s="37">
        <f>COUNTIF(V$5:V$40,"O*")</f>
        <v/>
      </c>
      <c r="W45" s="37">
        <f>COUNTIF(W$5:W$40,"O*")</f>
        <v/>
      </c>
      <c r="X45" s="37">
        <f>COUNTIF(X$5:X$40,"O*")</f>
        <v/>
      </c>
      <c r="Y45" s="37">
        <f>COUNTIF(Y$5:Y$40,"O*")</f>
        <v/>
      </c>
      <c r="Z45" s="37">
        <f>COUNTIF(Z$5:Z$40,"O*")</f>
        <v/>
      </c>
      <c r="AA45" s="37">
        <f>COUNTIF(AA$5:AA$40,"O*")</f>
        <v/>
      </c>
      <c r="AB45" s="37">
        <f>COUNTIF(AB$5:AB$40,"O*")</f>
        <v/>
      </c>
      <c r="AC45" s="37">
        <f>COUNTIF(AC$5:AC$40,"O*")</f>
        <v/>
      </c>
      <c r="AD45" s="37">
        <f>COUNTIF(AD$5:AD$40,"O*")</f>
        <v/>
      </c>
      <c r="AE45" s="37">
        <f>COUNTIF(AE$5:AE$40,"O*")</f>
        <v/>
      </c>
      <c r="AF45" s="37">
        <f>COUNTIF(AF$5:AF$40,"O*")</f>
        <v/>
      </c>
      <c r="AG45" s="37">
        <f>COUNTIF(AG$5:AG$40,"O*")</f>
        <v/>
      </c>
      <c r="AH45" s="37">
        <f>COUNTIF(AH$5:AH$40,"O*")</f>
        <v/>
      </c>
      <c r="AI45" s="37">
        <f>COUNTIF(AI$5:AI$40,"O*")</f>
        <v/>
      </c>
      <c r="AJ45" s="37">
        <f>COUNTIF(AJ$5:AJ$40,"O*")</f>
        <v/>
      </c>
    </row>
    <row r="46" ht="18.75" customHeight="1" s="6">
      <c r="C46" s="90" t="inlineStr">
        <is>
          <t>Training</t>
        </is>
      </c>
      <c r="D46" s="134" t="n"/>
      <c r="E46" s="36" t="n"/>
      <c r="F46" s="37">
        <f>COUNTIF(F$5:F$40,"TR*")</f>
        <v/>
      </c>
      <c r="G46" s="37">
        <f>COUNTIF(G$5:G$40,"TR*")</f>
        <v/>
      </c>
      <c r="H46" s="37">
        <f>COUNTIF(H$5:H$40,"TR*")</f>
        <v/>
      </c>
      <c r="I46" s="37">
        <f>COUNTIF(I$5:I$40,"TR*")</f>
        <v/>
      </c>
      <c r="J46" s="37">
        <f>COUNTIF(J$5:J$40,"TR*")</f>
        <v/>
      </c>
      <c r="K46" s="37">
        <f>COUNTIF(K$5:K$40,"TR*")</f>
        <v/>
      </c>
      <c r="L46" s="37">
        <f>COUNTIF(L$5:L$40,"TR*")</f>
        <v/>
      </c>
      <c r="M46" s="37">
        <f>COUNTIF(M$5:M$40,"TR*")</f>
        <v/>
      </c>
      <c r="N46" s="37">
        <f>COUNTIF(N$5:N$40,"TR*")</f>
        <v/>
      </c>
      <c r="O46" s="37">
        <f>COUNTIF(O$5:O$40,"TR*")</f>
        <v/>
      </c>
      <c r="P46" s="37">
        <f>COUNTIF(P$5:P$40,"TR*")</f>
        <v/>
      </c>
      <c r="Q46" s="37">
        <f>COUNTIF(Q$5:Q$40,"TR*")</f>
        <v/>
      </c>
      <c r="R46" s="37">
        <f>COUNTIF(R$5:R$40,"TR*")</f>
        <v/>
      </c>
      <c r="S46" s="37">
        <f>COUNTIF(S$5:S$40,"TR*")</f>
        <v/>
      </c>
      <c r="T46" s="37">
        <f>COUNTIF(T$5:T$40,"TR*")</f>
        <v/>
      </c>
      <c r="U46" s="37">
        <f>COUNTIF(U$5:U$40,"TR*")</f>
        <v/>
      </c>
      <c r="V46" s="37">
        <f>COUNTIF(V$5:V$40,"TR*")</f>
        <v/>
      </c>
      <c r="W46" s="37">
        <f>COUNTIF(W$5:W$40,"TR*")</f>
        <v/>
      </c>
      <c r="X46" s="37">
        <f>COUNTIF(X$5:X$40,"TR*")</f>
        <v/>
      </c>
      <c r="Y46" s="37">
        <f>COUNTIF(Y$5:Y$40,"TR*")</f>
        <v/>
      </c>
      <c r="Z46" s="37">
        <f>COUNTIF(Z$5:Z$40,"TR*")</f>
        <v/>
      </c>
      <c r="AA46" s="37">
        <f>COUNTIF(AA$5:AA$40,"TR*")</f>
        <v/>
      </c>
      <c r="AB46" s="37">
        <f>COUNTIF(AB$5:AB$40,"TR*")</f>
        <v/>
      </c>
      <c r="AC46" s="37">
        <f>COUNTIF(AC$5:AC$40,"TR*")</f>
        <v/>
      </c>
      <c r="AD46" s="37">
        <f>COUNTIF(AD$5:AD$40,"TR*")</f>
        <v/>
      </c>
      <c r="AE46" s="37">
        <f>COUNTIF(AE$5:AE$40,"TR*")</f>
        <v/>
      </c>
      <c r="AF46" s="37">
        <f>COUNTIF(AF$5:AF$40,"TR*")</f>
        <v/>
      </c>
      <c r="AG46" s="37">
        <f>COUNTIF(AG$5:AG$40,"TR*")</f>
        <v/>
      </c>
      <c r="AH46" s="37">
        <f>COUNTIF(AH$5:AH$40,"TR*")</f>
        <v/>
      </c>
      <c r="AI46" s="37">
        <f>COUNTIF(AI$5:AI$40,"TR*")</f>
        <v/>
      </c>
      <c r="AJ46" s="37">
        <f>COUNTIF(AJ$5:AJ$40,"TR*")</f>
        <v/>
      </c>
    </row>
    <row r="47" ht="18.75" customHeight="1" s="6">
      <c r="C47" s="90" t="inlineStr">
        <is>
          <t>Standby Staffs</t>
        </is>
      </c>
      <c r="D47" s="134" t="n"/>
      <c r="E47" s="36" t="n"/>
      <c r="F47" s="37">
        <f>COUNTIF(F$5:F$39,"ST*")</f>
        <v/>
      </c>
      <c r="G47" s="37">
        <f>COUNTIF(G$5:G$39,"ST*")</f>
        <v/>
      </c>
      <c r="H47" s="37">
        <f>COUNTIF(H$5:H$39,"ST*")</f>
        <v/>
      </c>
      <c r="I47" s="37">
        <f>COUNTIF(I$5:I$39,"ST*")</f>
        <v/>
      </c>
      <c r="J47" s="37">
        <f>COUNTIF(J$5:J$39,"ST*")</f>
        <v/>
      </c>
      <c r="K47" s="37">
        <f>COUNTIF(K$5:K$39,"ST*")</f>
        <v/>
      </c>
      <c r="L47" s="37">
        <f>COUNTIF(L$5:L$39,"ST*")</f>
        <v/>
      </c>
      <c r="M47" s="37">
        <f>COUNTIF(M$5:M$39,"ST*")</f>
        <v/>
      </c>
      <c r="N47" s="37">
        <f>COUNTIF(N$5:N$39,"ST*")</f>
        <v/>
      </c>
      <c r="O47" s="37">
        <f>COUNTIF(O$5:O$39,"ST*")</f>
        <v/>
      </c>
      <c r="P47" s="37">
        <f>COUNTIF(P$5:P$39,"ST*")</f>
        <v/>
      </c>
      <c r="Q47" s="37">
        <f>COUNTIF(Q$5:Q$39,"ST*")</f>
        <v/>
      </c>
      <c r="R47" s="37">
        <f>COUNTIF(R$5:R$39,"ST*")</f>
        <v/>
      </c>
      <c r="S47" s="37">
        <f>COUNTIF(S$5:S$39,"ST*")</f>
        <v/>
      </c>
      <c r="T47" s="37">
        <f>COUNTIF(T$5:T$39,"ST*")</f>
        <v/>
      </c>
      <c r="U47" s="37">
        <f>COUNTIF(U$5:U$39,"ST*")</f>
        <v/>
      </c>
      <c r="V47" s="37">
        <f>COUNTIF(V$5:V$39,"ST*")</f>
        <v/>
      </c>
      <c r="W47" s="37">
        <f>COUNTIF(W$5:W$39,"ST*")</f>
        <v/>
      </c>
      <c r="X47" s="37">
        <f>COUNTIF(X$5:X$39,"ST*")</f>
        <v/>
      </c>
      <c r="Y47" s="37">
        <f>COUNTIF(Y$5:Y$39,"ST*")</f>
        <v/>
      </c>
      <c r="Z47" s="37">
        <f>COUNTIF(Z$5:Z$39,"ST*")</f>
        <v/>
      </c>
      <c r="AA47" s="37">
        <f>COUNTIF(AA$5:AA$39,"ST*")</f>
        <v/>
      </c>
      <c r="AB47" s="37">
        <f>COUNTIF(AB$5:AB$39,"ST*")</f>
        <v/>
      </c>
      <c r="AC47" s="37">
        <f>COUNTIF(AC$5:AC$39,"ST*")</f>
        <v/>
      </c>
      <c r="AD47" s="37">
        <f>COUNTIF(AD$5:AD$39,"ST*")</f>
        <v/>
      </c>
      <c r="AE47" s="37">
        <f>COUNTIF(AE$5:AE$39,"ST*")</f>
        <v/>
      </c>
      <c r="AF47" s="37">
        <f>COUNTIF(AF$5:AF$39,"ST*")</f>
        <v/>
      </c>
      <c r="AG47" s="37">
        <f>COUNTIF(AG$5:AG$39,"ST*")</f>
        <v/>
      </c>
      <c r="AH47" s="37">
        <f>COUNTIF(AH$5:AH$39,"ST*")</f>
        <v/>
      </c>
      <c r="AI47" s="37">
        <f>COUNTIF(AI$5:AI$39,"ST*")</f>
        <v/>
      </c>
      <c r="AJ47" s="37">
        <f>COUNTIF(AJ$5:AJ$39,"ST*")</f>
        <v/>
      </c>
    </row>
    <row r="48" ht="18.75" customHeight="1" s="6">
      <c r="C48" s="88" t="inlineStr">
        <is>
          <t>Extra Staffs</t>
        </is>
      </c>
      <c r="D48" s="134" t="n"/>
      <c r="E48" s="38" t="n"/>
      <c r="F48" s="59">
        <f>F50-F51</f>
        <v/>
      </c>
      <c r="G48" s="59">
        <f>G50-G51</f>
        <v/>
      </c>
      <c r="H48" s="59">
        <f>H50-H51</f>
        <v/>
      </c>
      <c r="I48" s="59">
        <f>I50-I51</f>
        <v/>
      </c>
      <c r="J48" s="59">
        <f>J50-J51</f>
        <v/>
      </c>
      <c r="K48" s="59">
        <f>K50-K51</f>
        <v/>
      </c>
      <c r="L48" s="59">
        <f>L50-L51</f>
        <v/>
      </c>
      <c r="M48" s="59">
        <f>M50-M51</f>
        <v/>
      </c>
      <c r="N48" s="59">
        <f>N50-N51</f>
        <v/>
      </c>
      <c r="O48" s="59">
        <f>O50-O51</f>
        <v/>
      </c>
      <c r="P48" s="59">
        <f>P50-P51</f>
        <v/>
      </c>
      <c r="Q48" s="59">
        <f>Q50-Q51</f>
        <v/>
      </c>
      <c r="R48" s="59">
        <f>R50-R51</f>
        <v/>
      </c>
      <c r="S48" s="59">
        <f>S50-S51</f>
        <v/>
      </c>
      <c r="T48" s="59">
        <f>T50-T51</f>
        <v/>
      </c>
      <c r="U48" s="59">
        <f>U50-U51</f>
        <v/>
      </c>
      <c r="V48" s="59">
        <f>V50-V51</f>
        <v/>
      </c>
      <c r="W48" s="59">
        <f>W50-W51</f>
        <v/>
      </c>
      <c r="X48" s="59">
        <f>X50-X51</f>
        <v/>
      </c>
      <c r="Y48" s="59">
        <f>Y50-Y51</f>
        <v/>
      </c>
      <c r="Z48" s="59">
        <f>Z50-Z51</f>
        <v/>
      </c>
      <c r="AA48" s="59">
        <f>AA50-AA51</f>
        <v/>
      </c>
      <c r="AB48" s="59">
        <f>AB50-AB51</f>
        <v/>
      </c>
      <c r="AC48" s="59">
        <f>AC50-AC51</f>
        <v/>
      </c>
      <c r="AD48" s="59">
        <f>AD50-AD51</f>
        <v/>
      </c>
      <c r="AE48" s="59">
        <f>AE50-AE51</f>
        <v/>
      </c>
      <c r="AF48" s="59">
        <f>AF50-AF51</f>
        <v/>
      </c>
      <c r="AG48" s="59">
        <f>AG50-AG51</f>
        <v/>
      </c>
      <c r="AH48" s="59">
        <f>AH50-AH51</f>
        <v/>
      </c>
      <c r="AI48" s="59">
        <f>AI50-AI51</f>
        <v/>
      </c>
      <c r="AJ48" s="59">
        <f>AJ50-AJ51</f>
        <v/>
      </c>
    </row>
    <row r="49" ht="9.75" customHeight="1" s="6">
      <c r="C49" s="40" t="n"/>
      <c r="D49" s="40" t="n"/>
      <c r="E49" s="36" t="n"/>
      <c r="F49" s="89" t="n"/>
      <c r="G49" s="133" t="n"/>
      <c r="H49" s="133" t="n"/>
      <c r="I49" s="133" t="n"/>
      <c r="J49" s="133" t="n"/>
      <c r="K49" s="133" t="n"/>
      <c r="L49" s="133" t="n"/>
      <c r="M49" s="133" t="n"/>
      <c r="N49" s="133" t="n"/>
      <c r="O49" s="133" t="n"/>
      <c r="P49" s="133" t="n"/>
      <c r="Q49" s="133" t="n"/>
      <c r="R49" s="133" t="n"/>
      <c r="S49" s="133" t="n"/>
      <c r="T49" s="133" t="n"/>
      <c r="U49" s="133" t="n"/>
      <c r="V49" s="133" t="n"/>
      <c r="W49" s="133" t="n"/>
      <c r="X49" s="133" t="n"/>
      <c r="Y49" s="133" t="n"/>
      <c r="Z49" s="133" t="n"/>
      <c r="AA49" s="133" t="n"/>
      <c r="AB49" s="133" t="n"/>
      <c r="AC49" s="133" t="n"/>
      <c r="AD49" s="133" t="n"/>
      <c r="AE49" s="133" t="n"/>
      <c r="AF49" s="133" t="n"/>
      <c r="AG49" s="133" t="n"/>
      <c r="AH49" s="133" t="n"/>
      <c r="AI49" s="133" t="n"/>
      <c r="AJ49" s="133" t="n"/>
    </row>
    <row r="50" ht="18.75" customHeight="1" s="6">
      <c r="C50" s="90" t="inlineStr">
        <is>
          <t xml:space="preserve">On duty </t>
        </is>
      </c>
      <c r="D50" s="134" t="n"/>
      <c r="E50" s="36" t="n"/>
      <c r="F50" s="41">
        <f>SUM(F42:F44)</f>
        <v/>
      </c>
      <c r="G50" s="41">
        <f>SUM(G42:G44)</f>
        <v/>
      </c>
      <c r="H50" s="41">
        <f>SUM(H42:H44)</f>
        <v/>
      </c>
      <c r="I50" s="41">
        <f>SUM(I42:I44)</f>
        <v/>
      </c>
      <c r="J50" s="41">
        <f>SUM(J42:J44)</f>
        <v/>
      </c>
      <c r="K50" s="41">
        <f>SUM(K42:K44)</f>
        <v/>
      </c>
      <c r="L50" s="41">
        <f>SUM(L42:L44)</f>
        <v/>
      </c>
      <c r="M50" s="41">
        <f>SUM(M42:M44)</f>
        <v/>
      </c>
      <c r="N50" s="41">
        <f>SUM(N42:N44)</f>
        <v/>
      </c>
      <c r="O50" s="41">
        <f>SUM(O42:O44)</f>
        <v/>
      </c>
      <c r="P50" s="41">
        <f>SUM(P42:P44)</f>
        <v/>
      </c>
      <c r="Q50" s="41">
        <f>SUM(Q42:Q44)</f>
        <v/>
      </c>
      <c r="R50" s="41">
        <f>SUM(R42:R44)</f>
        <v/>
      </c>
      <c r="S50" s="41">
        <f>SUM(S42:S44)</f>
        <v/>
      </c>
      <c r="T50" s="41">
        <f>SUM(T42:T44)</f>
        <v/>
      </c>
      <c r="U50" s="41">
        <f>SUM(U42:U44)</f>
        <v/>
      </c>
      <c r="V50" s="41">
        <f>SUM(V42:V44)</f>
        <v/>
      </c>
      <c r="W50" s="41">
        <f>SUM(W42:W44)</f>
        <v/>
      </c>
      <c r="X50" s="41">
        <f>SUM(X42:X44)</f>
        <v/>
      </c>
      <c r="Y50" s="41">
        <f>SUM(Y42:Y44)</f>
        <v/>
      </c>
      <c r="Z50" s="41">
        <f>SUM(Z42:Z44)</f>
        <v/>
      </c>
      <c r="AA50" s="41">
        <f>SUM(AA42:AA44)</f>
        <v/>
      </c>
      <c r="AB50" s="41">
        <f>SUM(AB42:AB44)</f>
        <v/>
      </c>
      <c r="AC50" s="41">
        <f>SUM(AC42:AC44)</f>
        <v/>
      </c>
      <c r="AD50" s="41">
        <f>SUM(AD42:AD44)</f>
        <v/>
      </c>
      <c r="AE50" s="41">
        <f>SUM(AE42:AE44)</f>
        <v/>
      </c>
      <c r="AF50" s="41">
        <f>SUM(AF42:AF44)</f>
        <v/>
      </c>
      <c r="AG50" s="41">
        <f>SUM(AG42:AG44)</f>
        <v/>
      </c>
      <c r="AH50" s="41">
        <f>SUM(AH42:AH44)</f>
        <v/>
      </c>
      <c r="AI50" s="41">
        <f>SUM(AI42:AI44)</f>
        <v/>
      </c>
      <c r="AJ50" s="41" t="n">
        <v>18</v>
      </c>
    </row>
    <row r="51" ht="18.75" customHeight="1" s="6">
      <c r="C51" s="90" t="inlineStr">
        <is>
          <t xml:space="preserve">Minimum Requirement </t>
        </is>
      </c>
      <c r="D51" s="134" t="n"/>
      <c r="E51" s="36" t="n"/>
      <c r="F51" s="37" t="n">
        <v>18</v>
      </c>
      <c r="G51" s="37" t="n">
        <v>18</v>
      </c>
      <c r="H51" s="37" t="n">
        <v>18</v>
      </c>
      <c r="I51" s="37" t="n">
        <v>18</v>
      </c>
      <c r="J51" s="37" t="n">
        <v>18</v>
      </c>
      <c r="K51" s="37" t="n">
        <v>18</v>
      </c>
      <c r="L51" s="37" t="n">
        <v>18</v>
      </c>
      <c r="M51" s="37" t="n">
        <v>18</v>
      </c>
      <c r="N51" s="37" t="n">
        <v>18</v>
      </c>
      <c r="O51" s="37" t="n">
        <v>18</v>
      </c>
      <c r="P51" s="37" t="n">
        <v>18</v>
      </c>
      <c r="Q51" s="37" t="n">
        <v>18</v>
      </c>
      <c r="R51" s="37" t="n">
        <v>18</v>
      </c>
      <c r="S51" s="37" t="n">
        <v>18</v>
      </c>
      <c r="T51" s="37" t="n">
        <v>18</v>
      </c>
      <c r="U51" s="37" t="n">
        <v>18</v>
      </c>
      <c r="V51" s="37" t="n">
        <v>18</v>
      </c>
      <c r="W51" s="37" t="n">
        <v>18</v>
      </c>
      <c r="X51" s="37" t="n">
        <v>18</v>
      </c>
      <c r="Y51" s="37" t="n">
        <v>18</v>
      </c>
      <c r="Z51" s="37" t="n">
        <v>18</v>
      </c>
      <c r="AA51" s="37" t="n">
        <v>18</v>
      </c>
      <c r="AB51" s="37" t="n">
        <v>18</v>
      </c>
      <c r="AC51" s="37" t="n">
        <v>18</v>
      </c>
      <c r="AD51" s="37" t="n">
        <v>18</v>
      </c>
      <c r="AE51" s="37" t="n">
        <v>18</v>
      </c>
      <c r="AF51" s="37" t="n">
        <v>18</v>
      </c>
      <c r="AG51" s="37" t="n">
        <v>18</v>
      </c>
      <c r="AH51" s="37" t="n">
        <v>18</v>
      </c>
      <c r="AI51" s="37" t="n">
        <v>18</v>
      </c>
      <c r="AJ51" s="37" t="n">
        <v>18</v>
      </c>
    </row>
    <row r="52" ht="18.75" customHeight="1" s="6">
      <c r="C52" s="90" t="inlineStr">
        <is>
          <t xml:space="preserve">Total Staffs  </t>
        </is>
      </c>
      <c r="D52" s="134" t="n"/>
      <c r="E52" s="36" t="n"/>
      <c r="F52" s="37">
        <f>SUM(F42,F43,F44,F45,F47)</f>
        <v/>
      </c>
      <c r="G52" s="37">
        <f>SUM(G42,G43,G44,G45,G47)</f>
        <v/>
      </c>
      <c r="H52" s="37">
        <f>SUM(H42,H43,H44,H45,H47)</f>
        <v/>
      </c>
      <c r="I52" s="37">
        <f>SUM(I42,I43,I44,I45,I47)</f>
        <v/>
      </c>
      <c r="J52" s="37">
        <f>SUM(J42,J43,J44,J45,J47)</f>
        <v/>
      </c>
      <c r="K52" s="37">
        <f>SUM(K42,K43,K44,K45,K47)</f>
        <v/>
      </c>
      <c r="L52" s="37">
        <f>SUM(L42,L43,L44,L45,L47)</f>
        <v/>
      </c>
      <c r="M52" s="37">
        <f>SUM(M42,M43,M44,M45,M47)</f>
        <v/>
      </c>
      <c r="N52" s="37">
        <f>SUM(N42,N43,N44,N45,N47)</f>
        <v/>
      </c>
      <c r="O52" s="37">
        <f>SUM(O42,O43,O44,O45,O47)</f>
        <v/>
      </c>
      <c r="P52" s="37">
        <f>SUM(P42,P43,P44,P45,P47)</f>
        <v/>
      </c>
      <c r="Q52" s="37">
        <f>SUM(Q42,Q43,Q44,Q45,Q47)</f>
        <v/>
      </c>
      <c r="R52" s="37">
        <f>SUM(R42,R43,R44,R45,R47)</f>
        <v/>
      </c>
      <c r="S52" s="37">
        <f>SUM(S42,S43,S44,S45,S47)</f>
        <v/>
      </c>
      <c r="T52" s="37">
        <f>SUM(T42,T43,T44,T45,T47)</f>
        <v/>
      </c>
      <c r="U52" s="37">
        <f>SUM(U42,U43,U44,U45,U47)</f>
        <v/>
      </c>
      <c r="V52" s="37">
        <f>SUM(V42,V43,V44,V45,V47)</f>
        <v/>
      </c>
      <c r="W52" s="37">
        <f>SUM(W42,W43,W44,W45,W47)</f>
        <v/>
      </c>
      <c r="X52" s="37">
        <f>SUM(X42,X43,X44,X45,X47)</f>
        <v/>
      </c>
      <c r="Y52" s="37">
        <f>SUM(Y42,Y43,Y44,Y45,Y47)</f>
        <v/>
      </c>
      <c r="Z52" s="37">
        <f>SUM(Z42,Z43,Z44,Z45,Z47)</f>
        <v/>
      </c>
      <c r="AA52" s="37">
        <f>SUM(AA42,AA43,AA44,AA45,AA47)</f>
        <v/>
      </c>
      <c r="AB52" s="37">
        <f>SUM(AB42,AB43,AB44,AB45,AB47)</f>
        <v/>
      </c>
      <c r="AC52" s="37">
        <f>SUM(AC42,AC43,AC44,AC45,AC47)</f>
        <v/>
      </c>
      <c r="AD52" s="37">
        <f>SUM(AD42,AD43,AD44,AD45,AD47)</f>
        <v/>
      </c>
      <c r="AE52" s="37">
        <f>SUM(AE42,AE43,AE44,AE45,AE47)</f>
        <v/>
      </c>
      <c r="AF52" s="37">
        <f>SUM(AF42,AF43,AF44,AF45,AF47)</f>
        <v/>
      </c>
      <c r="AG52" s="37">
        <f>SUM(AG42,AG43,AG44,AG45,AG47)</f>
        <v/>
      </c>
      <c r="AH52" s="37">
        <f>SUM(AH42,AH43,AH44,AH45,AH47)</f>
        <v/>
      </c>
      <c r="AI52" s="37">
        <f>SUM(AI42,AI43,AI44,AI45,AI47)</f>
        <v/>
      </c>
      <c r="AJ52" s="37" t="n">
        <v>35</v>
      </c>
    </row>
  </sheetData>
  <mergeCells count="54">
    <mergeCell ref="AM2:AM4"/>
    <mergeCell ref="AN2:AN4"/>
    <mergeCell ref="AO2:AO4"/>
    <mergeCell ref="AP2:AP4"/>
    <mergeCell ref="B3:D4"/>
    <mergeCell ref="C5:D5"/>
    <mergeCell ref="C6:D6"/>
    <mergeCell ref="F2:AJ2"/>
    <mergeCell ref="AL2:AL4"/>
    <mergeCell ref="C18:D18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  <mergeCell ref="C19:D19"/>
    <mergeCell ref="C20:D20"/>
    <mergeCell ref="C21:D21"/>
    <mergeCell ref="C22:D22"/>
    <mergeCell ref="C23:D23"/>
    <mergeCell ref="C34:D34"/>
    <mergeCell ref="C24:D24"/>
    <mergeCell ref="C25:D25"/>
    <mergeCell ref="C26:D26"/>
    <mergeCell ref="C27:D27"/>
    <mergeCell ref="C28:D28"/>
    <mergeCell ref="C29:D29"/>
    <mergeCell ref="C30:D30"/>
    <mergeCell ref="C31:D31"/>
    <mergeCell ref="C32:D32"/>
    <mergeCell ref="C33:D33"/>
    <mergeCell ref="C47:D47"/>
    <mergeCell ref="C35:D35"/>
    <mergeCell ref="C36:D36"/>
    <mergeCell ref="C37:D37"/>
    <mergeCell ref="C38:D38"/>
    <mergeCell ref="C39:D39"/>
    <mergeCell ref="C40:D40"/>
    <mergeCell ref="C42:D42"/>
    <mergeCell ref="C43:D43"/>
    <mergeCell ref="C44:D44"/>
    <mergeCell ref="C45:D45"/>
    <mergeCell ref="C46:D46"/>
    <mergeCell ref="C48:D48"/>
    <mergeCell ref="F49:AJ49"/>
    <mergeCell ref="C50:D50"/>
    <mergeCell ref="C51:D51"/>
    <mergeCell ref="C52:D52"/>
  </mergeCells>
  <conditionalFormatting sqref="F5:AI40">
    <cfRule type="containsText" priority="1" operator="containsText" dxfId="72" text="TR">
      <formula>NOT(ISERROR(SEARCH("TR",F5)))</formula>
    </cfRule>
  </conditionalFormatting>
  <conditionalFormatting sqref="F5:AJ40">
    <cfRule type="containsText" priority="3" operator="containsText" dxfId="8" text="STN">
      <formula>NOT(ISERROR(SEARCH("STN",F5)))</formula>
    </cfRule>
    <cfRule type="containsText" priority="4" operator="containsText" dxfId="20" text="STN">
      <formula>NOT(ISERROR(SEARCH("STN",F5)))</formula>
    </cfRule>
    <cfRule type="containsText" priority="5" operator="containsText" dxfId="4" text="STM">
      <formula>NOT(ISERROR(SEARCH("STM",F5)))</formula>
    </cfRule>
    <cfRule type="containsText" priority="6" operator="containsText" dxfId="17" text="M">
      <formula>NOT(ISERROR(SEARCH("M",F5)))</formula>
    </cfRule>
    <cfRule type="containsText" priority="7" operator="containsText" dxfId="17" text="STM1">
      <formula>NOT(ISERROR(SEARCH("STM1",F5)))</formula>
    </cfRule>
    <cfRule type="containsText" priority="8" operator="containsText" dxfId="16" text="M">
      <formula>NOT(ISERROR(SEARCH("M",F5)))</formula>
    </cfRule>
    <cfRule type="containsText" priority="9" operator="containsText" dxfId="15" text="STM">
      <formula>NOT(ISERROR(SEARCH("STM",F5)))</formula>
    </cfRule>
    <cfRule type="containsText" priority="10" operator="containsText" dxfId="14" text="STM">
      <formula>NOT(ISERROR(SEARCH("STM",F5)))</formula>
    </cfRule>
    <cfRule type="containsText" priority="11" operator="containsText" dxfId="6" text="STM1">
      <formula>NOT(ISERROR(SEARCH("STM1",F5)))</formula>
    </cfRule>
    <cfRule type="containsText" priority="12" operator="containsText" dxfId="5" text="STA">
      <formula>NOT(ISERROR(SEARCH("STA",F5)))</formula>
    </cfRule>
    <cfRule type="containsText" priority="13" operator="containsText" dxfId="4" text="STM1">
      <formula>NOT(ISERROR(SEARCH("STM1",F5)))</formula>
    </cfRule>
    <cfRule type="containsText" priority="14" operator="containsText" dxfId="3" text="O">
      <formula>NOT(ISERROR(SEARCH("O",F5)))</formula>
    </cfRule>
    <cfRule type="containsText" priority="15" operator="containsText" dxfId="2" text="N">
      <formula>NOT(ISERROR(SEARCH("N",F5)))</formula>
    </cfRule>
    <cfRule type="containsText" priority="16" operator="containsText" dxfId="1" text="A">
      <formula>NOT(ISERROR(SEARCH("A",F5)))</formula>
    </cfRule>
    <cfRule type="containsText" priority="17" operator="containsText" dxfId="0" text="M">
      <formula>NOT(ISERROR(SEARCH("M",F5)))</formula>
    </cfRule>
  </conditionalFormatting>
  <conditionalFormatting sqref="H6">
    <cfRule type="expression" priority="2" dxfId="89">
      <formula>LEFT(#REF!,1)="TR"</formula>
    </cfRule>
  </conditionalFormatting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AP30"/>
  <sheetViews>
    <sheetView zoomScale="90" zoomScaleNormal="9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U25" sqref="U25"/>
    </sheetView>
  </sheetViews>
  <sheetFormatPr baseColWidth="8" defaultRowHeight="15.75"/>
  <cols>
    <col width="3.42578125" customWidth="1" style="18" min="1" max="1"/>
    <col width="5.5703125" customWidth="1" style="18" min="2" max="2"/>
    <col width="12.85546875" customWidth="1" style="18" min="3" max="3"/>
    <col width="27.42578125" customWidth="1" style="20" min="4" max="4"/>
    <col width="2.28515625" customWidth="1" style="18" min="5" max="5"/>
    <col width="10.7109375" customWidth="1" style="18" min="6" max="36"/>
    <col width="4.28515625" customWidth="1" style="18" min="37" max="37"/>
    <col width="9.140625" customWidth="1" style="18" min="38" max="16384"/>
  </cols>
  <sheetData>
    <row r="2" ht="39" customHeight="1" s="6" thickBot="1">
      <c r="F2" s="112" t="inlineStr">
        <is>
          <t>Export Load Control Roster for the Month of September 2025</t>
        </is>
      </c>
      <c r="G2" s="133" t="n"/>
      <c r="H2" s="133" t="n"/>
      <c r="I2" s="133" t="n"/>
      <c r="J2" s="133" t="n"/>
      <c r="K2" s="133" t="n"/>
      <c r="L2" s="133" t="n"/>
      <c r="M2" s="133" t="n"/>
      <c r="N2" s="133" t="n"/>
      <c r="O2" s="133" t="n"/>
      <c r="P2" s="133" t="n"/>
      <c r="Q2" s="133" t="n"/>
      <c r="R2" s="133" t="n"/>
      <c r="S2" s="133" t="n"/>
      <c r="T2" s="133" t="n"/>
      <c r="U2" s="133" t="n"/>
      <c r="V2" s="133" t="n"/>
      <c r="W2" s="133" t="n"/>
      <c r="X2" s="133" t="n"/>
      <c r="Y2" s="133" t="n"/>
      <c r="Z2" s="133" t="n"/>
      <c r="AA2" s="133" t="n"/>
      <c r="AB2" s="133" t="n"/>
      <c r="AC2" s="133" t="n"/>
      <c r="AD2" s="133" t="n"/>
      <c r="AE2" s="133" t="n"/>
      <c r="AF2" s="133" t="n"/>
      <c r="AG2" s="133" t="n"/>
      <c r="AH2" s="133" t="n"/>
      <c r="AI2" s="133" t="n"/>
      <c r="AJ2" s="134" t="n"/>
      <c r="AL2" s="141" t="inlineStr">
        <is>
          <t xml:space="preserve">Staff Number Of Days Standby </t>
        </is>
      </c>
      <c r="AM2" s="141" t="inlineStr">
        <is>
          <t>Staff's Morning Duty</t>
        </is>
      </c>
      <c r="AN2" s="141" t="inlineStr">
        <is>
          <t>Staff's Afternoon Duty</t>
        </is>
      </c>
      <c r="AO2" s="141" t="inlineStr">
        <is>
          <t>Staff's Night Duty</t>
        </is>
      </c>
      <c r="AP2" s="141" t="inlineStr">
        <is>
          <t>Staff's Offdays</t>
        </is>
      </c>
    </row>
    <row r="3" ht="39" customHeight="1" s="6">
      <c r="B3" s="144" t="inlineStr">
        <is>
          <t>Employee</t>
        </is>
      </c>
      <c r="C3" s="145" t="n"/>
      <c r="D3" s="146" t="n"/>
      <c r="F3" s="28" t="inlineStr">
        <is>
          <t>SAT</t>
        </is>
      </c>
      <c r="G3" s="29" t="inlineStr">
        <is>
          <t>SUN</t>
        </is>
      </c>
      <c r="H3" s="29" t="inlineStr">
        <is>
          <t>MON</t>
        </is>
      </c>
      <c r="I3" s="28" t="inlineStr">
        <is>
          <t>TUE</t>
        </is>
      </c>
      <c r="J3" s="29" t="inlineStr">
        <is>
          <t>WED</t>
        </is>
      </c>
      <c r="K3" s="29" t="inlineStr">
        <is>
          <t>THU</t>
        </is>
      </c>
      <c r="L3" s="28" t="inlineStr">
        <is>
          <t>FRI</t>
        </is>
      </c>
      <c r="M3" s="29" t="inlineStr">
        <is>
          <t>SAT</t>
        </is>
      </c>
      <c r="N3" s="29" t="inlineStr">
        <is>
          <t>SUN</t>
        </is>
      </c>
      <c r="O3" s="28" t="inlineStr">
        <is>
          <t>MON</t>
        </is>
      </c>
      <c r="P3" s="29" t="inlineStr">
        <is>
          <t>TUE</t>
        </is>
      </c>
      <c r="Q3" s="29" t="inlineStr">
        <is>
          <t>WED</t>
        </is>
      </c>
      <c r="R3" s="28" t="inlineStr">
        <is>
          <t>THU</t>
        </is>
      </c>
      <c r="S3" s="29" t="inlineStr">
        <is>
          <t>FRI</t>
        </is>
      </c>
      <c r="T3" s="29" t="inlineStr">
        <is>
          <t>SAT</t>
        </is>
      </c>
      <c r="U3" s="28" t="inlineStr">
        <is>
          <t>SUN</t>
        </is>
      </c>
      <c r="V3" s="29" t="inlineStr">
        <is>
          <t>MON</t>
        </is>
      </c>
      <c r="W3" s="29" t="inlineStr">
        <is>
          <t>TUE</t>
        </is>
      </c>
      <c r="X3" s="28" t="inlineStr">
        <is>
          <t>WED</t>
        </is>
      </c>
      <c r="Y3" s="29" t="inlineStr">
        <is>
          <t>THU</t>
        </is>
      </c>
      <c r="Z3" s="29" t="inlineStr">
        <is>
          <t>FRI</t>
        </is>
      </c>
      <c r="AA3" s="28" t="inlineStr">
        <is>
          <t>SAT</t>
        </is>
      </c>
      <c r="AB3" s="29" t="inlineStr">
        <is>
          <t>SUN</t>
        </is>
      </c>
      <c r="AC3" s="29" t="inlineStr">
        <is>
          <t>MON</t>
        </is>
      </c>
      <c r="AD3" s="28" t="inlineStr">
        <is>
          <t>TUE</t>
        </is>
      </c>
      <c r="AE3" s="29" t="inlineStr">
        <is>
          <t>WED</t>
        </is>
      </c>
      <c r="AF3" s="29" t="inlineStr">
        <is>
          <t>THU</t>
        </is>
      </c>
      <c r="AG3" s="28" t="inlineStr">
        <is>
          <t>FRI</t>
        </is>
      </c>
      <c r="AH3" s="29" t="inlineStr">
        <is>
          <t>SAT</t>
        </is>
      </c>
      <c r="AI3" s="29" t="inlineStr">
        <is>
          <t>SUN</t>
        </is>
      </c>
      <c r="AJ3" s="31" t="n"/>
      <c r="AL3" s="11" t="n"/>
      <c r="AM3" s="11" t="n"/>
      <c r="AN3" s="11" t="n"/>
      <c r="AO3" s="11" t="n"/>
      <c r="AP3" s="11" t="n"/>
    </row>
    <row r="4" ht="19.5" customHeight="1" s="6" thickBot="1">
      <c r="B4" s="147" t="n"/>
      <c r="C4" s="148" t="n"/>
      <c r="D4" s="149" t="n"/>
      <c r="F4" s="32" t="n">
        <v>1</v>
      </c>
      <c r="G4" s="33" t="n">
        <v>2</v>
      </c>
      <c r="H4" s="33" t="n">
        <v>3</v>
      </c>
      <c r="I4" s="33" t="n">
        <v>4</v>
      </c>
      <c r="J4" s="33" t="n">
        <v>5</v>
      </c>
      <c r="K4" s="33" t="n">
        <v>6</v>
      </c>
      <c r="L4" s="33" t="n">
        <v>7</v>
      </c>
      <c r="M4" s="33" t="n">
        <v>8</v>
      </c>
      <c r="N4" s="33" t="n">
        <v>9</v>
      </c>
      <c r="O4" s="33" t="n">
        <v>10</v>
      </c>
      <c r="P4" s="33" t="n">
        <v>11</v>
      </c>
      <c r="Q4" s="33" t="n">
        <v>12</v>
      </c>
      <c r="R4" s="33" t="n">
        <v>13</v>
      </c>
      <c r="S4" s="33" t="n">
        <v>14</v>
      </c>
      <c r="T4" s="33" t="n">
        <v>15</v>
      </c>
      <c r="U4" s="33" t="n">
        <v>16</v>
      </c>
      <c r="V4" s="33" t="n">
        <v>17</v>
      </c>
      <c r="W4" s="33" t="n">
        <v>18</v>
      </c>
      <c r="X4" s="33" t="n">
        <v>19</v>
      </c>
      <c r="Y4" s="33" t="n">
        <v>20</v>
      </c>
      <c r="Z4" s="33" t="n">
        <v>21</v>
      </c>
      <c r="AA4" s="33" t="n">
        <v>22</v>
      </c>
      <c r="AB4" s="33" t="n">
        <v>23</v>
      </c>
      <c r="AC4" s="33" t="n">
        <v>24</v>
      </c>
      <c r="AD4" s="33" t="n">
        <v>25</v>
      </c>
      <c r="AE4" s="33" t="n">
        <v>26</v>
      </c>
      <c r="AF4" s="33" t="n">
        <v>27</v>
      </c>
      <c r="AG4" s="33" t="n">
        <v>28</v>
      </c>
      <c r="AH4" s="33" t="n">
        <v>29</v>
      </c>
      <c r="AI4" s="34" t="n">
        <v>30</v>
      </c>
      <c r="AJ4" s="35" t="n"/>
      <c r="AL4" s="12" t="n"/>
      <c r="AM4" s="12" t="n"/>
      <c r="AN4" s="12" t="n"/>
      <c r="AO4" s="12" t="n"/>
      <c r="AP4" s="12" t="n"/>
    </row>
    <row r="5" ht="18.75" customHeight="1" s="6">
      <c r="B5" s="76" t="n">
        <v>1</v>
      </c>
      <c r="C5" s="126" t="inlineStr">
        <is>
          <t>Habib Al Balushi - 82600</t>
        </is>
      </c>
      <c r="D5" s="138" t="n"/>
      <c r="F5" s="67" t="inlineStr">
        <is>
          <t>M1</t>
        </is>
      </c>
      <c r="G5" s="46" t="inlineStr">
        <is>
          <t>M2</t>
        </is>
      </c>
      <c r="H5" s="46" t="inlineStr">
        <is>
          <t>A1</t>
        </is>
      </c>
      <c r="I5" s="46" t="inlineStr">
        <is>
          <t>N1</t>
        </is>
      </c>
      <c r="J5" s="46" t="inlineStr">
        <is>
          <t>N2</t>
        </is>
      </c>
      <c r="K5" s="46" t="inlineStr">
        <is>
          <t>O1</t>
        </is>
      </c>
      <c r="L5" s="46" t="inlineStr">
        <is>
          <t>O2</t>
        </is>
      </c>
      <c r="M5" s="46" t="inlineStr">
        <is>
          <t>O3</t>
        </is>
      </c>
      <c r="N5" s="46" t="inlineStr">
        <is>
          <t>STM1</t>
        </is>
      </c>
      <c r="O5" s="46" t="inlineStr">
        <is>
          <t>M2</t>
        </is>
      </c>
      <c r="P5" s="46" t="inlineStr">
        <is>
          <t>M3</t>
        </is>
      </c>
      <c r="Q5" s="46" t="inlineStr">
        <is>
          <t>STA2</t>
        </is>
      </c>
      <c r="R5" s="46" t="inlineStr">
        <is>
          <t>N1</t>
        </is>
      </c>
      <c r="S5" s="46" t="inlineStr">
        <is>
          <t>O1</t>
        </is>
      </c>
      <c r="T5" s="46" t="inlineStr">
        <is>
          <t>O2</t>
        </is>
      </c>
      <c r="U5" s="46" t="inlineStr">
        <is>
          <t>O3</t>
        </is>
      </c>
      <c r="V5" s="46" t="inlineStr">
        <is>
          <t>M1</t>
        </is>
      </c>
      <c r="W5" s="46" t="inlineStr">
        <is>
          <t>M1</t>
        </is>
      </c>
      <c r="X5" s="46" t="inlineStr">
        <is>
          <t>A1</t>
        </is>
      </c>
      <c r="Y5" s="46" t="inlineStr">
        <is>
          <t>N1</t>
        </is>
      </c>
      <c r="Z5" s="46" t="inlineStr">
        <is>
          <t>N1</t>
        </is>
      </c>
      <c r="AA5" s="46" t="inlineStr">
        <is>
          <t>O1</t>
        </is>
      </c>
      <c r="AB5" s="46" t="inlineStr">
        <is>
          <t>O2</t>
        </is>
      </c>
      <c r="AC5" s="46" t="inlineStr">
        <is>
          <t>O3</t>
        </is>
      </c>
      <c r="AD5" s="46" t="inlineStr">
        <is>
          <t>M1</t>
        </is>
      </c>
      <c r="AE5" s="46" t="inlineStr">
        <is>
          <t>TR</t>
        </is>
      </c>
      <c r="AF5" s="46" t="inlineStr">
        <is>
          <t>A1</t>
        </is>
      </c>
      <c r="AG5" s="46" t="inlineStr">
        <is>
          <t>A2</t>
        </is>
      </c>
      <c r="AH5" s="46" t="inlineStr">
        <is>
          <t>N1</t>
        </is>
      </c>
      <c r="AI5" s="68" t="inlineStr">
        <is>
          <t>O1</t>
        </is>
      </c>
      <c r="AJ5" s="69" t="n"/>
      <c r="AL5" s="56">
        <f>COUNTIF($F5:$AJ5,"ST*")</f>
        <v/>
      </c>
      <c r="AM5" s="56">
        <f>COUNTIF($F5:$AJ5,"M*")</f>
        <v/>
      </c>
      <c r="AN5" s="56">
        <f>COUNTIF($F5:$AJ5,"A*")</f>
        <v/>
      </c>
      <c r="AO5" s="56">
        <f>COUNTIF($F5:$AJ5,"N*")</f>
        <v/>
      </c>
      <c r="AP5" s="56">
        <f>COUNTIF($F5:$AJ5,"O*")</f>
        <v/>
      </c>
    </row>
    <row r="6" ht="18.75" customHeight="1" s="6">
      <c r="B6" s="65" t="n">
        <v>2</v>
      </c>
      <c r="C6" s="92" t="inlineStr">
        <is>
          <t>Hamed Al Fulaiti - 82596</t>
        </is>
      </c>
      <c r="D6" s="134" t="n"/>
      <c r="F6" s="70" t="inlineStr">
        <is>
          <t>O1</t>
        </is>
      </c>
      <c r="G6" s="57" t="inlineStr">
        <is>
          <t>A2</t>
        </is>
      </c>
      <c r="H6" s="57" t="inlineStr">
        <is>
          <t>STN1</t>
        </is>
      </c>
      <c r="I6" s="57" t="inlineStr">
        <is>
          <t>O1</t>
        </is>
      </c>
      <c r="J6" s="57" t="inlineStr">
        <is>
          <t>TR</t>
        </is>
      </c>
      <c r="K6" s="57" t="inlineStr">
        <is>
          <t>O2</t>
        </is>
      </c>
      <c r="L6" s="57" t="inlineStr">
        <is>
          <t>O3</t>
        </is>
      </c>
      <c r="M6" s="63" t="inlineStr">
        <is>
          <t>STM1</t>
        </is>
      </c>
      <c r="N6" s="63" t="inlineStr">
        <is>
          <t>A1</t>
        </is>
      </c>
      <c r="O6" s="63" t="inlineStr">
        <is>
          <t>A2</t>
        </is>
      </c>
      <c r="P6" s="63" t="inlineStr">
        <is>
          <t>A3</t>
        </is>
      </c>
      <c r="Q6" s="63" t="inlineStr">
        <is>
          <t>N1</t>
        </is>
      </c>
      <c r="R6" s="57" t="inlineStr">
        <is>
          <t>O1</t>
        </is>
      </c>
      <c r="S6" s="57" t="inlineStr">
        <is>
          <t>O2</t>
        </is>
      </c>
      <c r="T6" s="57" t="inlineStr">
        <is>
          <t>O3</t>
        </is>
      </c>
      <c r="U6" s="63" t="n"/>
      <c r="V6" s="63" t="n"/>
      <c r="W6" s="63" t="n"/>
      <c r="X6" s="63" t="n"/>
      <c r="Y6" s="63" t="n"/>
      <c r="Z6" s="63" t="inlineStr">
        <is>
          <t>O1</t>
        </is>
      </c>
      <c r="AA6" s="63" t="inlineStr">
        <is>
          <t>O2</t>
        </is>
      </c>
      <c r="AB6" s="63" t="inlineStr">
        <is>
          <t>O3</t>
        </is>
      </c>
      <c r="AC6" s="57" t="inlineStr">
        <is>
          <t>STM1</t>
        </is>
      </c>
      <c r="AD6" s="57" t="inlineStr">
        <is>
          <t>A1</t>
        </is>
      </c>
      <c r="AE6" s="57" t="inlineStr">
        <is>
          <t>A2</t>
        </is>
      </c>
      <c r="AF6" s="57" t="inlineStr">
        <is>
          <t>STN1</t>
        </is>
      </c>
      <c r="AG6" s="57" t="inlineStr">
        <is>
          <t>N2</t>
        </is>
      </c>
      <c r="AH6" s="57" t="inlineStr">
        <is>
          <t>O1</t>
        </is>
      </c>
      <c r="AI6" s="25" t="inlineStr">
        <is>
          <t>O2</t>
        </is>
      </c>
      <c r="AJ6" s="71" t="n"/>
      <c r="AL6" s="56">
        <f>COUNTIF($F6:$AJ6,"ST*")</f>
        <v/>
      </c>
      <c r="AM6" s="56">
        <f>COUNTIF($F6:$AJ6,"M*")</f>
        <v/>
      </c>
      <c r="AN6" s="56">
        <f>COUNTIF($F6:$AJ6,"A*")</f>
        <v/>
      </c>
      <c r="AO6" s="56">
        <f>COUNTIF($F6:$AJ6,"N*")</f>
        <v/>
      </c>
      <c r="AP6" s="56">
        <f>COUNTIF($F6:$AJ6,"O*")</f>
        <v/>
      </c>
    </row>
    <row r="7" ht="18.75" customHeight="1" s="6">
      <c r="B7" s="65" t="n">
        <v>3</v>
      </c>
      <c r="C7" s="92" t="inlineStr">
        <is>
          <t>Marwan Al Difai - 82437</t>
        </is>
      </c>
      <c r="D7" s="134" t="n"/>
      <c r="F7" s="70" t="inlineStr">
        <is>
          <t>A1</t>
        </is>
      </c>
      <c r="G7" s="57" t="inlineStr">
        <is>
          <t>TR</t>
        </is>
      </c>
      <c r="H7" s="57" t="inlineStr">
        <is>
          <t>N2</t>
        </is>
      </c>
      <c r="I7" s="57" t="inlineStr">
        <is>
          <t>O1</t>
        </is>
      </c>
      <c r="J7" s="57" t="inlineStr">
        <is>
          <t>O2</t>
        </is>
      </c>
      <c r="K7" s="57" t="inlineStr">
        <is>
          <t>O3</t>
        </is>
      </c>
      <c r="L7" s="57" t="inlineStr">
        <is>
          <t>STM1</t>
        </is>
      </c>
      <c r="M7" s="57" t="inlineStr">
        <is>
          <t>M2</t>
        </is>
      </c>
      <c r="N7" s="57" t="inlineStr">
        <is>
          <t>A1</t>
        </is>
      </c>
      <c r="O7" s="57" t="inlineStr">
        <is>
          <t>STN1</t>
        </is>
      </c>
      <c r="P7" s="57" t="inlineStr">
        <is>
          <t>N2</t>
        </is>
      </c>
      <c r="Q7" s="57" t="inlineStr">
        <is>
          <t>O1</t>
        </is>
      </c>
      <c r="R7" s="57" t="inlineStr">
        <is>
          <t>O2</t>
        </is>
      </c>
      <c r="S7" s="57" t="inlineStr">
        <is>
          <t>O3</t>
        </is>
      </c>
      <c r="T7" s="57" t="inlineStr">
        <is>
          <t>STM1</t>
        </is>
      </c>
      <c r="U7" s="57" t="inlineStr">
        <is>
          <t>M2</t>
        </is>
      </c>
      <c r="V7" s="57" t="inlineStr">
        <is>
          <t>STA1</t>
        </is>
      </c>
      <c r="W7" s="57" t="inlineStr">
        <is>
          <t>A2</t>
        </is>
      </c>
      <c r="X7" s="57" t="inlineStr">
        <is>
          <t>N2</t>
        </is>
      </c>
      <c r="Y7" s="57" t="inlineStr">
        <is>
          <t>O1</t>
        </is>
      </c>
      <c r="Z7" s="57" t="inlineStr">
        <is>
          <t>O2</t>
        </is>
      </c>
      <c r="AA7" s="57" t="inlineStr">
        <is>
          <t>O3</t>
        </is>
      </c>
      <c r="AB7" s="57" t="inlineStr">
        <is>
          <t>STM1</t>
        </is>
      </c>
      <c r="AC7" s="57" t="inlineStr">
        <is>
          <t>M2</t>
        </is>
      </c>
      <c r="AD7" s="57" t="inlineStr">
        <is>
          <t>STA1</t>
        </is>
      </c>
      <c r="AE7" s="57" t="inlineStr">
        <is>
          <t>TR</t>
        </is>
      </c>
      <c r="AF7" s="57" t="inlineStr">
        <is>
          <t>STN1</t>
        </is>
      </c>
      <c r="AG7" s="57" t="inlineStr">
        <is>
          <t>O1</t>
        </is>
      </c>
      <c r="AH7" s="57" t="inlineStr">
        <is>
          <t>O2</t>
        </is>
      </c>
      <c r="AI7" s="25" t="inlineStr">
        <is>
          <t>O3</t>
        </is>
      </c>
      <c r="AJ7" s="71" t="n"/>
      <c r="AL7" s="56">
        <f>COUNTIF($F7:$AJ7,"ST*")</f>
        <v/>
      </c>
      <c r="AM7" s="56">
        <f>COUNTIF($F7:$AJ7,"M*")</f>
        <v/>
      </c>
      <c r="AN7" s="56">
        <f>COUNTIF($F7:$AJ7,"A*")</f>
        <v/>
      </c>
      <c r="AO7" s="56">
        <f>COUNTIF($F7:$AJ7,"N*")</f>
        <v/>
      </c>
      <c r="AP7" s="56">
        <f>COUNTIF($F7:$AJ7,"O*")</f>
        <v/>
      </c>
    </row>
    <row r="8" ht="18.75" customHeight="1" s="6">
      <c r="B8" s="65" t="n">
        <v>4</v>
      </c>
      <c r="C8" s="92" t="inlineStr">
        <is>
          <t>Mubarak Al Nofli - 82114</t>
        </is>
      </c>
      <c r="D8" s="134" t="n"/>
      <c r="F8" s="70" t="inlineStr">
        <is>
          <t>N1</t>
        </is>
      </c>
      <c r="G8" s="57" t="inlineStr">
        <is>
          <t>N2</t>
        </is>
      </c>
      <c r="H8" s="57" t="inlineStr">
        <is>
          <t>O1</t>
        </is>
      </c>
      <c r="I8" s="57" t="inlineStr">
        <is>
          <t>O2</t>
        </is>
      </c>
      <c r="J8" s="57" t="inlineStr">
        <is>
          <t>O3</t>
        </is>
      </c>
      <c r="K8" s="57" t="inlineStr">
        <is>
          <t>STM1</t>
        </is>
      </c>
      <c r="L8" s="57" t="inlineStr">
        <is>
          <t>M2</t>
        </is>
      </c>
      <c r="M8" s="57" t="inlineStr">
        <is>
          <t>STA1</t>
        </is>
      </c>
      <c r="N8" s="57" t="inlineStr">
        <is>
          <t>N1</t>
        </is>
      </c>
      <c r="O8" s="57" t="inlineStr">
        <is>
          <t>N2</t>
        </is>
      </c>
      <c r="P8" s="57" t="inlineStr">
        <is>
          <t>O1</t>
        </is>
      </c>
      <c r="Q8" s="57" t="inlineStr">
        <is>
          <t>O2</t>
        </is>
      </c>
      <c r="R8" s="57" t="inlineStr">
        <is>
          <t>O3</t>
        </is>
      </c>
      <c r="S8" s="57" t="inlineStr">
        <is>
          <t>STM1</t>
        </is>
      </c>
      <c r="T8" s="57" t="inlineStr">
        <is>
          <t>M2</t>
        </is>
      </c>
      <c r="U8" s="57" t="inlineStr">
        <is>
          <t>STA1</t>
        </is>
      </c>
      <c r="V8" s="57" t="inlineStr">
        <is>
          <t>A2</t>
        </is>
      </c>
      <c r="W8" s="57" t="inlineStr">
        <is>
          <t>N2</t>
        </is>
      </c>
      <c r="X8" s="57" t="inlineStr">
        <is>
          <t>O1</t>
        </is>
      </c>
      <c r="Y8" s="57" t="inlineStr">
        <is>
          <t>O2</t>
        </is>
      </c>
      <c r="Z8" s="57" t="inlineStr">
        <is>
          <t>O3</t>
        </is>
      </c>
      <c r="AA8" s="57" t="inlineStr">
        <is>
          <t>STM1</t>
        </is>
      </c>
      <c r="AB8" s="57" t="inlineStr">
        <is>
          <t>M2</t>
        </is>
      </c>
      <c r="AC8" s="57" t="inlineStr">
        <is>
          <t>A1</t>
        </is>
      </c>
      <c r="AD8" s="57" t="inlineStr">
        <is>
          <t>STN1</t>
        </is>
      </c>
      <c r="AE8" s="57" t="inlineStr">
        <is>
          <t>N2</t>
        </is>
      </c>
      <c r="AF8" s="57" t="inlineStr">
        <is>
          <t>O1</t>
        </is>
      </c>
      <c r="AG8" s="57" t="inlineStr">
        <is>
          <t>O2</t>
        </is>
      </c>
      <c r="AH8" s="57" t="inlineStr">
        <is>
          <t>O3</t>
        </is>
      </c>
      <c r="AI8" s="25" t="inlineStr">
        <is>
          <t>STM1</t>
        </is>
      </c>
      <c r="AJ8" s="71" t="n"/>
      <c r="AL8" s="56">
        <f>COUNTIF($F8:$AJ8,"ST*")</f>
        <v/>
      </c>
      <c r="AM8" s="56">
        <f>COUNTIF($F8:$AJ8,"M*")</f>
        <v/>
      </c>
      <c r="AN8" s="56">
        <f>COUNTIF($F8:$AJ8,"A*")</f>
        <v/>
      </c>
      <c r="AO8" s="56">
        <f>COUNTIF($F8:$AJ8,"N*")</f>
        <v/>
      </c>
      <c r="AP8" s="56">
        <f>COUNTIF($F8:$AJ8,"O*")</f>
        <v/>
      </c>
    </row>
    <row r="9" ht="18.75" customHeight="1" s="6">
      <c r="B9" s="65" t="n">
        <v>5</v>
      </c>
      <c r="C9" s="92" t="inlineStr">
        <is>
          <t>Mudathir Al Hajri - 82441</t>
        </is>
      </c>
      <c r="D9" s="134" t="n"/>
      <c r="F9" s="70" t="inlineStr">
        <is>
          <t>N2</t>
        </is>
      </c>
      <c r="G9" s="57" t="inlineStr">
        <is>
          <t>O1</t>
        </is>
      </c>
      <c r="H9" s="57" t="inlineStr">
        <is>
          <t>O2</t>
        </is>
      </c>
      <c r="I9" s="57" t="inlineStr">
        <is>
          <t>O3</t>
        </is>
      </c>
      <c r="J9" s="57" t="inlineStr">
        <is>
          <t>M1</t>
        </is>
      </c>
      <c r="K9" s="57" t="inlineStr">
        <is>
          <t>M2</t>
        </is>
      </c>
      <c r="L9" s="57" t="inlineStr">
        <is>
          <t>A1</t>
        </is>
      </c>
      <c r="M9" s="57" t="inlineStr">
        <is>
          <t>A2</t>
        </is>
      </c>
      <c r="N9" s="57" t="inlineStr">
        <is>
          <t>STN1</t>
        </is>
      </c>
      <c r="O9" s="57" t="inlineStr">
        <is>
          <t>O1</t>
        </is>
      </c>
      <c r="P9" s="57" t="inlineStr">
        <is>
          <t>O2</t>
        </is>
      </c>
      <c r="Q9" s="57" t="inlineStr">
        <is>
          <t>O3</t>
        </is>
      </c>
      <c r="R9" s="57" t="inlineStr">
        <is>
          <t>STM1</t>
        </is>
      </c>
      <c r="S9" s="57" t="inlineStr">
        <is>
          <t>M2</t>
        </is>
      </c>
      <c r="T9" s="57" t="inlineStr">
        <is>
          <t>A1</t>
        </is>
      </c>
      <c r="U9" s="57" t="inlineStr">
        <is>
          <t>A2</t>
        </is>
      </c>
      <c r="V9" s="57" t="inlineStr">
        <is>
          <t>N1</t>
        </is>
      </c>
      <c r="W9" s="57" t="inlineStr">
        <is>
          <t>O1</t>
        </is>
      </c>
      <c r="X9" s="57" t="inlineStr">
        <is>
          <t>O2</t>
        </is>
      </c>
      <c r="Y9" s="57" t="inlineStr">
        <is>
          <t>O3</t>
        </is>
      </c>
      <c r="Z9" s="57" t="inlineStr">
        <is>
          <t>STM1</t>
        </is>
      </c>
      <c r="AA9" s="57" t="inlineStr">
        <is>
          <t>M2</t>
        </is>
      </c>
      <c r="AB9" s="57" t="inlineStr">
        <is>
          <t>STA1</t>
        </is>
      </c>
      <c r="AC9" s="57" t="inlineStr">
        <is>
          <t>A2</t>
        </is>
      </c>
      <c r="AD9" s="57" t="inlineStr">
        <is>
          <t>N1</t>
        </is>
      </c>
      <c r="AE9" s="57" t="inlineStr">
        <is>
          <t>O1</t>
        </is>
      </c>
      <c r="AF9" s="57" t="inlineStr">
        <is>
          <t>O2</t>
        </is>
      </c>
      <c r="AG9" s="57" t="inlineStr">
        <is>
          <t>O3</t>
        </is>
      </c>
      <c r="AH9" s="57" t="inlineStr">
        <is>
          <t>STM1</t>
        </is>
      </c>
      <c r="AI9" s="25" t="inlineStr">
        <is>
          <t>M2</t>
        </is>
      </c>
      <c r="AJ9" s="71" t="n"/>
      <c r="AL9" s="56">
        <f>COUNTIF($F9:$AJ9,"ST*")</f>
        <v/>
      </c>
      <c r="AM9" s="56">
        <f>COUNTIF($F9:$AJ9,"M*")</f>
        <v/>
      </c>
      <c r="AN9" s="56">
        <f>COUNTIF($F9:$AJ9,"A*")</f>
        <v/>
      </c>
      <c r="AO9" s="56">
        <f>COUNTIF($F9:$AJ9,"N*")</f>
        <v/>
      </c>
      <c r="AP9" s="56">
        <f>COUNTIF($F9:$AJ9,"O*")</f>
        <v/>
      </c>
    </row>
    <row r="10" ht="18.75" customHeight="1" s="6">
      <c r="B10" s="65" t="n">
        <v>6</v>
      </c>
      <c r="C10" s="92" t="inlineStr">
        <is>
          <t>Omar Al Obaidi - 82551</t>
        </is>
      </c>
      <c r="D10" s="134" t="n"/>
      <c r="F10" s="70" t="inlineStr">
        <is>
          <t>O1</t>
        </is>
      </c>
      <c r="G10" s="57" t="inlineStr">
        <is>
          <t>O2</t>
        </is>
      </c>
      <c r="H10" s="57" t="inlineStr">
        <is>
          <t>O3</t>
        </is>
      </c>
      <c r="I10" s="57" t="inlineStr">
        <is>
          <t>M1</t>
        </is>
      </c>
      <c r="J10" s="57" t="inlineStr">
        <is>
          <t>STA1</t>
        </is>
      </c>
      <c r="K10" s="57" t="inlineStr">
        <is>
          <t>A2</t>
        </is>
      </c>
      <c r="L10" s="57" t="inlineStr">
        <is>
          <t>A3</t>
        </is>
      </c>
      <c r="M10" s="57" t="inlineStr">
        <is>
          <t>N1</t>
        </is>
      </c>
      <c r="N10" s="57" t="inlineStr">
        <is>
          <t>O1</t>
        </is>
      </c>
      <c r="O10" s="57" t="inlineStr">
        <is>
          <t>O2</t>
        </is>
      </c>
      <c r="P10" s="57" t="inlineStr">
        <is>
          <t>O3</t>
        </is>
      </c>
      <c r="Q10" s="57" t="inlineStr">
        <is>
          <t>M1</t>
        </is>
      </c>
      <c r="R10" s="57" t="inlineStr">
        <is>
          <t>A1</t>
        </is>
      </c>
      <c r="S10" s="57" t="inlineStr">
        <is>
          <t>A2</t>
        </is>
      </c>
      <c r="T10" s="57" t="inlineStr">
        <is>
          <t>A3</t>
        </is>
      </c>
      <c r="U10" s="57" t="inlineStr">
        <is>
          <t>N1</t>
        </is>
      </c>
      <c r="V10" s="57" t="inlineStr">
        <is>
          <t>O1</t>
        </is>
      </c>
      <c r="W10" s="57" t="inlineStr">
        <is>
          <t>O2</t>
        </is>
      </c>
      <c r="X10" s="57" t="inlineStr">
        <is>
          <t>O3</t>
        </is>
      </c>
      <c r="Y10" s="57" t="inlineStr">
        <is>
          <t>M1</t>
        </is>
      </c>
      <c r="Z10" s="57" t="inlineStr">
        <is>
          <t>A1</t>
        </is>
      </c>
      <c r="AA10" s="57" t="inlineStr">
        <is>
          <t>A2</t>
        </is>
      </c>
      <c r="AB10" s="57" t="inlineStr">
        <is>
          <t>N1</t>
        </is>
      </c>
      <c r="AC10" s="57" t="inlineStr">
        <is>
          <t>N2</t>
        </is>
      </c>
      <c r="AD10" s="57" t="inlineStr">
        <is>
          <t>O1</t>
        </is>
      </c>
      <c r="AE10" s="57" t="inlineStr">
        <is>
          <t>O2</t>
        </is>
      </c>
      <c r="AF10" s="57" t="inlineStr">
        <is>
          <t>O3</t>
        </is>
      </c>
      <c r="AG10" s="57" t="inlineStr">
        <is>
          <t>STM1</t>
        </is>
      </c>
      <c r="AH10" s="57" t="inlineStr">
        <is>
          <t>M2</t>
        </is>
      </c>
      <c r="AI10" s="25" t="inlineStr">
        <is>
          <t>A1</t>
        </is>
      </c>
      <c r="AJ10" s="71" t="n"/>
      <c r="AL10" s="56">
        <f>COUNTIF($F10:$AJ10,"ST*")</f>
        <v/>
      </c>
      <c r="AM10" s="56">
        <f>COUNTIF($F10:$AJ10,"M*")</f>
        <v/>
      </c>
      <c r="AN10" s="56">
        <f>COUNTIF($F10:$AJ10,"A*")</f>
        <v/>
      </c>
      <c r="AO10" s="56">
        <f>COUNTIF($F10:$AJ10,"N*")</f>
        <v/>
      </c>
      <c r="AP10" s="56">
        <f>COUNTIF($F10:$AJ10,"O*")</f>
        <v/>
      </c>
    </row>
    <row r="11" ht="18.75" customHeight="1" s="6">
      <c r="B11" s="65" t="n">
        <v>7</v>
      </c>
      <c r="C11" s="92" t="inlineStr">
        <is>
          <t>Al Muthana Al Shamfari - 82445</t>
        </is>
      </c>
      <c r="D11" s="134" t="n"/>
      <c r="F11" s="70" t="inlineStr">
        <is>
          <t>O2</t>
        </is>
      </c>
      <c r="G11" s="57" t="inlineStr">
        <is>
          <t>O3</t>
        </is>
      </c>
      <c r="H11" s="57" t="inlineStr">
        <is>
          <t>STM1</t>
        </is>
      </c>
      <c r="I11" s="57" t="inlineStr">
        <is>
          <t>A1</t>
        </is>
      </c>
      <c r="J11" s="57" t="inlineStr">
        <is>
          <t>A2</t>
        </is>
      </c>
      <c r="K11" s="57" t="inlineStr">
        <is>
          <t>N1</t>
        </is>
      </c>
      <c r="L11" s="57" t="inlineStr">
        <is>
          <t>N2</t>
        </is>
      </c>
      <c r="M11" s="57" t="inlineStr">
        <is>
          <t>O1</t>
        </is>
      </c>
      <c r="N11" s="57" t="inlineStr">
        <is>
          <t>O2</t>
        </is>
      </c>
      <c r="O11" s="57" t="inlineStr">
        <is>
          <t>O3</t>
        </is>
      </c>
      <c r="P11" s="57" t="inlineStr">
        <is>
          <t>M1</t>
        </is>
      </c>
      <c r="Q11" s="57" t="inlineStr">
        <is>
          <t>A1</t>
        </is>
      </c>
      <c r="R11" s="57" t="inlineStr">
        <is>
          <t>N1</t>
        </is>
      </c>
      <c r="S11" s="57" t="inlineStr">
        <is>
          <t>N2</t>
        </is>
      </c>
      <c r="T11" s="57" t="inlineStr">
        <is>
          <t>N3</t>
        </is>
      </c>
      <c r="U11" s="57" t="inlineStr">
        <is>
          <t>O1</t>
        </is>
      </c>
      <c r="V11" s="57" t="inlineStr">
        <is>
          <t>O2</t>
        </is>
      </c>
      <c r="W11" s="57" t="inlineStr">
        <is>
          <t>O3</t>
        </is>
      </c>
      <c r="X11" s="63" t="n"/>
      <c r="Y11" s="63" t="n"/>
      <c r="Z11" s="63" t="n"/>
      <c r="AA11" s="63" t="n"/>
      <c r="AB11" s="63" t="n"/>
      <c r="AC11" s="57" t="inlineStr">
        <is>
          <t>O1</t>
        </is>
      </c>
      <c r="AD11" s="57" t="inlineStr">
        <is>
          <t>O2</t>
        </is>
      </c>
      <c r="AE11" s="57" t="inlineStr">
        <is>
          <t>O3</t>
        </is>
      </c>
      <c r="AF11" s="57" t="inlineStr">
        <is>
          <t>STM1</t>
        </is>
      </c>
      <c r="AG11" s="57" t="inlineStr">
        <is>
          <t>M2</t>
        </is>
      </c>
      <c r="AH11" s="57" t="inlineStr">
        <is>
          <t>STA1</t>
        </is>
      </c>
      <c r="AI11" s="25" t="inlineStr">
        <is>
          <t>N1</t>
        </is>
      </c>
      <c r="AJ11" s="71" t="n"/>
      <c r="AL11" s="56">
        <f>COUNTIF($F11:$AJ11,"ST*")</f>
        <v/>
      </c>
      <c r="AM11" s="56">
        <f>COUNTIF($F11:$AJ11,"M*")</f>
        <v/>
      </c>
      <c r="AN11" s="56">
        <f>COUNTIF($F11:$AJ11,"A*")</f>
        <v/>
      </c>
      <c r="AO11" s="56">
        <f>COUNTIF($F11:$AJ11,"N*")</f>
        <v/>
      </c>
      <c r="AP11" s="56">
        <f>COUNTIF($F11:$AJ11,"O*")</f>
        <v/>
      </c>
    </row>
    <row r="12" ht="18.75" customHeight="1" s="6">
      <c r="B12" s="65" t="n">
        <v>8</v>
      </c>
      <c r="C12" s="92" t="inlineStr">
        <is>
          <t>Ahmed Al Muqaini - 82548</t>
        </is>
      </c>
      <c r="D12" s="134" t="n"/>
      <c r="F12" s="70" t="inlineStr">
        <is>
          <t>O2</t>
        </is>
      </c>
      <c r="G12" s="57" t="inlineStr">
        <is>
          <t>O3</t>
        </is>
      </c>
      <c r="H12" s="57" t="inlineStr">
        <is>
          <t>M2</t>
        </is>
      </c>
      <c r="I12" s="57" t="inlineStr">
        <is>
          <t>STA1</t>
        </is>
      </c>
      <c r="J12" s="57" t="inlineStr">
        <is>
          <t>TR</t>
        </is>
      </c>
      <c r="K12" s="57" t="inlineStr">
        <is>
          <t>N1</t>
        </is>
      </c>
      <c r="L12" s="57" t="inlineStr">
        <is>
          <t>O1</t>
        </is>
      </c>
      <c r="M12" s="57" t="inlineStr">
        <is>
          <t>O2</t>
        </is>
      </c>
      <c r="N12" s="57" t="inlineStr">
        <is>
          <t>O3</t>
        </is>
      </c>
      <c r="O12" s="63" t="n"/>
      <c r="P12" s="63" t="n"/>
      <c r="Q12" s="63" t="n"/>
      <c r="R12" s="63" t="n"/>
      <c r="S12" s="63" t="n"/>
      <c r="T12" s="57" t="inlineStr">
        <is>
          <t>O1</t>
        </is>
      </c>
      <c r="U12" s="57" t="inlineStr">
        <is>
          <t>O2</t>
        </is>
      </c>
      <c r="V12" s="57" t="inlineStr">
        <is>
          <t>O3</t>
        </is>
      </c>
      <c r="W12" s="57" t="inlineStr">
        <is>
          <t>M1</t>
        </is>
      </c>
      <c r="X12" s="57" t="inlineStr">
        <is>
          <t>M2</t>
        </is>
      </c>
      <c r="Y12" s="57" t="inlineStr">
        <is>
          <t>A1</t>
        </is>
      </c>
      <c r="Z12" s="57" t="inlineStr">
        <is>
          <t>N1</t>
        </is>
      </c>
      <c r="AA12" s="57" t="inlineStr">
        <is>
          <t>N2</t>
        </is>
      </c>
      <c r="AB12" s="57" t="inlineStr">
        <is>
          <t>O1</t>
        </is>
      </c>
      <c r="AC12" s="57" t="inlineStr">
        <is>
          <t>O2</t>
        </is>
      </c>
      <c r="AD12" s="57" t="inlineStr">
        <is>
          <t>O3</t>
        </is>
      </c>
      <c r="AE12" s="57" t="inlineStr">
        <is>
          <t>M1</t>
        </is>
      </c>
      <c r="AF12" s="57" t="inlineStr">
        <is>
          <t>M2</t>
        </is>
      </c>
      <c r="AG12" s="57" t="inlineStr">
        <is>
          <t>A1</t>
        </is>
      </c>
      <c r="AH12" s="57" t="inlineStr">
        <is>
          <t>A2</t>
        </is>
      </c>
      <c r="AI12" s="25" t="inlineStr">
        <is>
          <t>STN1</t>
        </is>
      </c>
      <c r="AJ12" s="71" t="n"/>
      <c r="AL12" s="56">
        <f>COUNTIF($F12:$AJ12,"ST*")</f>
        <v/>
      </c>
      <c r="AM12" s="56">
        <f>COUNTIF($F12:$AJ12,"M*")</f>
        <v/>
      </c>
      <c r="AN12" s="56">
        <f>COUNTIF($F12:$AJ12,"A*")</f>
        <v/>
      </c>
      <c r="AO12" s="56">
        <f>COUNTIF($F12:$AJ12,"N*")</f>
        <v/>
      </c>
      <c r="AP12" s="56">
        <f>COUNTIF($F12:$AJ12,"O*")</f>
        <v/>
      </c>
    </row>
    <row r="13" ht="18.75" customHeight="1" s="6">
      <c r="B13" s="65" t="n">
        <v>9</v>
      </c>
      <c r="C13" s="92" t="inlineStr">
        <is>
          <t>Ahmed Al Kharusi - 82575</t>
        </is>
      </c>
      <c r="D13" s="134" t="n"/>
      <c r="F13" s="70" t="inlineStr">
        <is>
          <t>M1</t>
        </is>
      </c>
      <c r="G13" s="57" t="inlineStr">
        <is>
          <t>M2</t>
        </is>
      </c>
      <c r="H13" s="57" t="inlineStr">
        <is>
          <t>A2</t>
        </is>
      </c>
      <c r="I13" s="57" t="inlineStr">
        <is>
          <t>STN1</t>
        </is>
      </c>
      <c r="J13" s="57" t="inlineStr">
        <is>
          <t>N2</t>
        </is>
      </c>
      <c r="K13" s="57" t="inlineStr">
        <is>
          <t>O1</t>
        </is>
      </c>
      <c r="L13" s="57" t="inlineStr">
        <is>
          <t>O2</t>
        </is>
      </c>
      <c r="M13" s="57" t="inlineStr">
        <is>
          <t>O3</t>
        </is>
      </c>
      <c r="N13" s="63" t="n"/>
      <c r="O13" s="63" t="n"/>
      <c r="P13" s="63" t="n"/>
      <c r="Q13" s="63" t="n"/>
      <c r="R13" s="63" t="n"/>
      <c r="S13" s="63" t="n"/>
      <c r="T13" s="63" t="n"/>
      <c r="U13" s="63" t="n"/>
      <c r="V13" s="63" t="n"/>
      <c r="W13" s="63" t="n"/>
      <c r="X13" s="63" t="n"/>
      <c r="Y13" s="63" t="n"/>
      <c r="Z13" s="63" t="n"/>
      <c r="AA13" s="57" t="inlineStr">
        <is>
          <t>O1</t>
        </is>
      </c>
      <c r="AB13" s="57" t="inlineStr">
        <is>
          <t>O2</t>
        </is>
      </c>
      <c r="AC13" s="57" t="inlineStr">
        <is>
          <t>O3</t>
        </is>
      </c>
      <c r="AD13" s="57" t="inlineStr">
        <is>
          <t>M1</t>
        </is>
      </c>
      <c r="AE13" s="57" t="inlineStr">
        <is>
          <t>M2</t>
        </is>
      </c>
      <c r="AF13" s="57" t="inlineStr">
        <is>
          <t>A1</t>
        </is>
      </c>
      <c r="AG13" s="57" t="inlineStr">
        <is>
          <t>STN1</t>
        </is>
      </c>
      <c r="AH13" s="57" t="inlineStr">
        <is>
          <t>N2</t>
        </is>
      </c>
      <c r="AI13" s="25" t="inlineStr">
        <is>
          <t>O1</t>
        </is>
      </c>
      <c r="AJ13" s="71" t="n"/>
      <c r="AL13" s="56">
        <f>COUNTIF($F13:$AJ13,"ST*")</f>
        <v/>
      </c>
      <c r="AM13" s="56">
        <f>COUNTIF($F13:$AJ13,"M*")</f>
        <v/>
      </c>
      <c r="AN13" s="56">
        <f>COUNTIF($F13:$AJ13,"A*")</f>
        <v/>
      </c>
      <c r="AO13" s="56">
        <f>COUNTIF($F13:$AJ13,"N*")</f>
        <v/>
      </c>
      <c r="AP13" s="56">
        <f>COUNTIF($F13:$AJ13,"O*")</f>
        <v/>
      </c>
    </row>
    <row r="14" ht="18.75" customHeight="1" s="6">
      <c r="B14" s="65" t="n">
        <v>10</v>
      </c>
      <c r="C14" s="92" t="inlineStr">
        <is>
          <t>Jaafar Al Balushi - 81258</t>
        </is>
      </c>
      <c r="D14" s="134" t="n"/>
      <c r="F14" s="70" t="inlineStr">
        <is>
          <t>STA1</t>
        </is>
      </c>
      <c r="G14" s="57" t="inlineStr">
        <is>
          <t>A2</t>
        </is>
      </c>
      <c r="H14" s="57" t="inlineStr">
        <is>
          <t>STN1</t>
        </is>
      </c>
      <c r="I14" s="57" t="inlineStr">
        <is>
          <t>N2</t>
        </is>
      </c>
      <c r="J14" s="57" t="inlineStr">
        <is>
          <t>O1</t>
        </is>
      </c>
      <c r="K14" s="57" t="inlineStr">
        <is>
          <t>O2</t>
        </is>
      </c>
      <c r="L14" s="57" t="inlineStr">
        <is>
          <t>O3</t>
        </is>
      </c>
      <c r="M14" s="63" t="inlineStr">
        <is>
          <t>STM1</t>
        </is>
      </c>
      <c r="N14" s="63" t="inlineStr">
        <is>
          <t>M2</t>
        </is>
      </c>
      <c r="O14" s="63" t="inlineStr">
        <is>
          <t>M3</t>
        </is>
      </c>
      <c r="P14" s="63" t="inlineStr">
        <is>
          <t>A3</t>
        </is>
      </c>
      <c r="Q14" s="63" t="inlineStr">
        <is>
          <t>N2</t>
        </is>
      </c>
      <c r="R14" s="57" t="inlineStr">
        <is>
          <t>O1</t>
        </is>
      </c>
      <c r="S14" s="57" t="inlineStr">
        <is>
          <t>O2</t>
        </is>
      </c>
      <c r="T14" s="57" t="inlineStr">
        <is>
          <t>O3</t>
        </is>
      </c>
      <c r="U14" s="57" t="inlineStr">
        <is>
          <t>STM1</t>
        </is>
      </c>
      <c r="V14" s="57" t="inlineStr">
        <is>
          <t>M2</t>
        </is>
      </c>
      <c r="W14" s="57" t="inlineStr">
        <is>
          <t>A1</t>
        </is>
      </c>
      <c r="X14" s="57" t="inlineStr">
        <is>
          <t>A2</t>
        </is>
      </c>
      <c r="Y14" s="57" t="inlineStr">
        <is>
          <t>N2</t>
        </is>
      </c>
      <c r="Z14" s="63" t="inlineStr">
        <is>
          <t>O1</t>
        </is>
      </c>
      <c r="AA14" s="63" t="inlineStr">
        <is>
          <t>O2</t>
        </is>
      </c>
      <c r="AB14" s="63" t="inlineStr">
        <is>
          <t>O3</t>
        </is>
      </c>
      <c r="AC14" s="57" t="inlineStr">
        <is>
          <t>STM1</t>
        </is>
      </c>
      <c r="AD14" s="57" t="inlineStr">
        <is>
          <t>A1</t>
        </is>
      </c>
      <c r="AE14" s="57" t="inlineStr">
        <is>
          <t>STA2</t>
        </is>
      </c>
      <c r="AF14" s="57" t="inlineStr">
        <is>
          <t>N1</t>
        </is>
      </c>
      <c r="AG14" s="57" t="inlineStr">
        <is>
          <t>N2</t>
        </is>
      </c>
      <c r="AH14" s="57" t="inlineStr">
        <is>
          <t>O1</t>
        </is>
      </c>
      <c r="AI14" s="25" t="inlineStr">
        <is>
          <t>O2</t>
        </is>
      </c>
      <c r="AJ14" s="71" t="n"/>
      <c r="AL14" s="56">
        <f>COUNTIF($F14:$AJ14,"ST*")</f>
        <v/>
      </c>
      <c r="AM14" s="56">
        <f>COUNTIF($F14:$AJ14,"M*")</f>
        <v/>
      </c>
      <c r="AN14" s="56">
        <f>COUNTIF($F14:$AJ14,"A*")</f>
        <v/>
      </c>
      <c r="AO14" s="56">
        <f>COUNTIF($F14:$AJ14,"N*")</f>
        <v/>
      </c>
      <c r="AP14" s="56">
        <f>COUNTIF($F14:$AJ14,"O*")</f>
        <v/>
      </c>
    </row>
    <row r="15" ht="18.75" customHeight="1" s="6">
      <c r="B15" s="65" t="n">
        <v>11</v>
      </c>
      <c r="C15" s="128" t="inlineStr">
        <is>
          <t>Mohamed Al Siyabi - 81402</t>
        </is>
      </c>
      <c r="D15" s="150" t="n"/>
      <c r="F15" s="70" t="inlineStr">
        <is>
          <t>A1</t>
        </is>
      </c>
      <c r="G15" s="57" t="inlineStr">
        <is>
          <t>TR</t>
        </is>
      </c>
      <c r="H15" s="57" t="inlineStr">
        <is>
          <t>N2</t>
        </is>
      </c>
      <c r="I15" s="57" t="inlineStr">
        <is>
          <t>O1</t>
        </is>
      </c>
      <c r="J15" s="57" t="inlineStr">
        <is>
          <t>O2</t>
        </is>
      </c>
      <c r="K15" s="57" t="inlineStr">
        <is>
          <t>O3</t>
        </is>
      </c>
      <c r="L15" s="57" t="inlineStr">
        <is>
          <t>STM1</t>
        </is>
      </c>
      <c r="M15" s="57" t="inlineStr">
        <is>
          <t>M2</t>
        </is>
      </c>
      <c r="N15" s="57" t="inlineStr">
        <is>
          <t>M3</t>
        </is>
      </c>
      <c r="O15" s="57" t="inlineStr">
        <is>
          <t>A1</t>
        </is>
      </c>
      <c r="P15" s="57" t="inlineStr">
        <is>
          <t>N2</t>
        </is>
      </c>
      <c r="Q15" s="57" t="inlineStr">
        <is>
          <t>O1</t>
        </is>
      </c>
      <c r="R15" s="57" t="inlineStr">
        <is>
          <t>O2</t>
        </is>
      </c>
      <c r="S15" s="57" t="inlineStr">
        <is>
          <t>O3</t>
        </is>
      </c>
      <c r="T15" s="57" t="inlineStr">
        <is>
          <t>STM1</t>
        </is>
      </c>
      <c r="U15" s="57" t="inlineStr">
        <is>
          <t>M2</t>
        </is>
      </c>
      <c r="V15" s="57" t="inlineStr">
        <is>
          <t>A1</t>
        </is>
      </c>
      <c r="W15" s="57" t="inlineStr">
        <is>
          <t>STN1</t>
        </is>
      </c>
      <c r="X15" s="57" t="inlineStr">
        <is>
          <t>N2</t>
        </is>
      </c>
      <c r="Y15" s="57" t="inlineStr">
        <is>
          <t>O1</t>
        </is>
      </c>
      <c r="Z15" s="57" t="inlineStr">
        <is>
          <t>O2</t>
        </is>
      </c>
      <c r="AA15" s="57" t="inlineStr">
        <is>
          <t>O3</t>
        </is>
      </c>
      <c r="AB15" s="57" t="inlineStr">
        <is>
          <t>STM1</t>
        </is>
      </c>
      <c r="AC15" s="57" t="inlineStr">
        <is>
          <t>M2</t>
        </is>
      </c>
      <c r="AD15" s="57" t="inlineStr">
        <is>
          <t>TR</t>
        </is>
      </c>
      <c r="AE15" s="57" t="inlineStr">
        <is>
          <t>A2</t>
        </is>
      </c>
      <c r="AF15" s="57" t="inlineStr">
        <is>
          <t>N2</t>
        </is>
      </c>
      <c r="AG15" s="57" t="inlineStr">
        <is>
          <t>O1</t>
        </is>
      </c>
      <c r="AH15" s="57" t="inlineStr">
        <is>
          <t>O2</t>
        </is>
      </c>
      <c r="AI15" s="25" t="inlineStr">
        <is>
          <t>O3</t>
        </is>
      </c>
      <c r="AJ15" s="71" t="n"/>
      <c r="AL15" s="56">
        <f>COUNTIF($F15:$AJ15,"ST*")</f>
        <v/>
      </c>
      <c r="AM15" s="56">
        <f>COUNTIF($F15:$AJ15,"M*")</f>
        <v/>
      </c>
      <c r="AN15" s="56">
        <f>COUNTIF($F15:$AJ15,"A*")</f>
        <v/>
      </c>
      <c r="AO15" s="56">
        <f>COUNTIF($F15:$AJ15,"N*")</f>
        <v/>
      </c>
      <c r="AP15" s="56">
        <f>COUNTIF($F15:$AJ15,"O*")</f>
        <v/>
      </c>
    </row>
    <row r="16" ht="18.75" customHeight="1" s="6">
      <c r="B16" s="65" t="n">
        <v>12</v>
      </c>
      <c r="C16" s="128" t="inlineStr">
        <is>
          <t>Saleh Al Aufi - 82550</t>
        </is>
      </c>
      <c r="D16" s="150" t="n"/>
      <c r="F16" s="70" t="inlineStr">
        <is>
          <t>STN1</t>
        </is>
      </c>
      <c r="G16" s="57" t="inlineStr">
        <is>
          <t>N2</t>
        </is>
      </c>
      <c r="H16" s="57" t="inlineStr">
        <is>
          <t>O1</t>
        </is>
      </c>
      <c r="I16" s="57" t="inlineStr">
        <is>
          <t>O2</t>
        </is>
      </c>
      <c r="J16" s="57" t="inlineStr">
        <is>
          <t>O3</t>
        </is>
      </c>
      <c r="K16" s="57" t="inlineStr">
        <is>
          <t>STM1</t>
        </is>
      </c>
      <c r="L16" s="57" t="inlineStr">
        <is>
          <t>M2</t>
        </is>
      </c>
      <c r="M16" s="57" t="inlineStr">
        <is>
          <t>STA1</t>
        </is>
      </c>
      <c r="N16" s="57" t="inlineStr">
        <is>
          <t>N1</t>
        </is>
      </c>
      <c r="O16" s="57" t="inlineStr">
        <is>
          <t>N2</t>
        </is>
      </c>
      <c r="P16" s="57" t="inlineStr">
        <is>
          <t>O1</t>
        </is>
      </c>
      <c r="Q16" s="57" t="inlineStr">
        <is>
          <t>O2</t>
        </is>
      </c>
      <c r="R16" s="57" t="inlineStr">
        <is>
          <t>O3</t>
        </is>
      </c>
      <c r="S16" s="57" t="inlineStr">
        <is>
          <t>STM1</t>
        </is>
      </c>
      <c r="T16" s="57" t="inlineStr">
        <is>
          <t>M2</t>
        </is>
      </c>
      <c r="U16" s="57" t="inlineStr">
        <is>
          <t>STA1</t>
        </is>
      </c>
      <c r="V16" s="57" t="inlineStr">
        <is>
          <t>N1</t>
        </is>
      </c>
      <c r="W16" s="57" t="inlineStr">
        <is>
          <t>N2</t>
        </is>
      </c>
      <c r="X16" s="57" t="inlineStr">
        <is>
          <t>O1</t>
        </is>
      </c>
      <c r="Y16" s="57" t="inlineStr">
        <is>
          <t>O2</t>
        </is>
      </c>
      <c r="Z16" s="57" t="inlineStr">
        <is>
          <t>O3</t>
        </is>
      </c>
      <c r="AA16" s="57" t="inlineStr">
        <is>
          <t>STM1</t>
        </is>
      </c>
      <c r="AB16" s="57" t="inlineStr">
        <is>
          <t>M2</t>
        </is>
      </c>
      <c r="AC16" s="57" t="inlineStr">
        <is>
          <t>STA1</t>
        </is>
      </c>
      <c r="AD16" s="57" t="inlineStr">
        <is>
          <t>TR</t>
        </is>
      </c>
      <c r="AE16" s="57" t="inlineStr">
        <is>
          <t>N2</t>
        </is>
      </c>
      <c r="AF16" s="57" t="inlineStr">
        <is>
          <t>O1</t>
        </is>
      </c>
      <c r="AG16" s="57" t="inlineStr">
        <is>
          <t>O2</t>
        </is>
      </c>
      <c r="AH16" s="57" t="inlineStr">
        <is>
          <t>O3</t>
        </is>
      </c>
      <c r="AI16" s="25" t="inlineStr">
        <is>
          <t>STM1</t>
        </is>
      </c>
      <c r="AJ16" s="71" t="n"/>
      <c r="AL16" s="56">
        <f>COUNTIF($F16:$AJ16,"ST*")</f>
        <v/>
      </c>
      <c r="AM16" s="56">
        <f>COUNTIF($F16:$AJ16,"M*")</f>
        <v/>
      </c>
      <c r="AN16" s="56">
        <f>COUNTIF($F16:$AJ16,"A*")</f>
        <v/>
      </c>
      <c r="AO16" s="56">
        <f>COUNTIF($F16:$AJ16,"N*")</f>
        <v/>
      </c>
      <c r="AP16" s="56">
        <f>COUNTIF($F16:$AJ16,"O*")</f>
        <v/>
      </c>
    </row>
    <row r="17" ht="18.75" customHeight="1" s="6">
      <c r="B17" s="65" t="n">
        <v>13</v>
      </c>
      <c r="C17" s="128" t="inlineStr">
        <is>
          <t>Assad Al Omairi - 81348</t>
        </is>
      </c>
      <c r="D17" s="150" t="n"/>
      <c r="F17" s="70" t="inlineStr">
        <is>
          <t>O1</t>
        </is>
      </c>
      <c r="G17" s="57" t="inlineStr">
        <is>
          <t>O2</t>
        </is>
      </c>
      <c r="H17" s="57" t="inlineStr">
        <is>
          <t>O3</t>
        </is>
      </c>
      <c r="I17" s="57" t="inlineStr">
        <is>
          <t>O4</t>
        </is>
      </c>
      <c r="J17" s="57" t="inlineStr">
        <is>
          <t>M1</t>
        </is>
      </c>
      <c r="K17" s="57" t="inlineStr">
        <is>
          <t>M2</t>
        </is>
      </c>
      <c r="L17" s="57" t="inlineStr">
        <is>
          <t>STA1</t>
        </is>
      </c>
      <c r="M17" s="57" t="inlineStr">
        <is>
          <t>A2</t>
        </is>
      </c>
      <c r="N17" s="57" t="inlineStr">
        <is>
          <t>STN1</t>
        </is>
      </c>
      <c r="O17" s="57" t="inlineStr">
        <is>
          <t>O1</t>
        </is>
      </c>
      <c r="P17" s="57" t="inlineStr">
        <is>
          <t>O2</t>
        </is>
      </c>
      <c r="Q17" s="57" t="inlineStr">
        <is>
          <t>O3</t>
        </is>
      </c>
      <c r="R17" s="57" t="inlineStr">
        <is>
          <t>M1</t>
        </is>
      </c>
      <c r="S17" s="57" t="inlineStr">
        <is>
          <t>M2</t>
        </is>
      </c>
      <c r="T17" s="57" t="inlineStr">
        <is>
          <t>STA1</t>
        </is>
      </c>
      <c r="U17" s="57" t="inlineStr">
        <is>
          <t>A2</t>
        </is>
      </c>
      <c r="V17" s="57" t="inlineStr">
        <is>
          <t>STN1</t>
        </is>
      </c>
      <c r="W17" s="57" t="inlineStr">
        <is>
          <t>O1</t>
        </is>
      </c>
      <c r="X17" s="57" t="inlineStr">
        <is>
          <t>O2</t>
        </is>
      </c>
      <c r="Y17" s="57" t="inlineStr">
        <is>
          <t>O3</t>
        </is>
      </c>
      <c r="Z17" s="57" t="inlineStr">
        <is>
          <t>M1</t>
        </is>
      </c>
      <c r="AA17" s="57" t="inlineStr">
        <is>
          <t>M2</t>
        </is>
      </c>
      <c r="AB17" s="57" t="inlineStr">
        <is>
          <t>A1</t>
        </is>
      </c>
      <c r="AC17" s="57" t="inlineStr">
        <is>
          <t>STA2</t>
        </is>
      </c>
      <c r="AD17" s="57" t="inlineStr">
        <is>
          <t>N1</t>
        </is>
      </c>
      <c r="AE17" s="57" t="inlineStr">
        <is>
          <t>O1</t>
        </is>
      </c>
      <c r="AF17" s="57" t="inlineStr">
        <is>
          <t>O2</t>
        </is>
      </c>
      <c r="AG17" s="57" t="inlineStr">
        <is>
          <t>O3</t>
        </is>
      </c>
      <c r="AH17" s="57" t="inlineStr">
        <is>
          <t>STM1</t>
        </is>
      </c>
      <c r="AI17" s="25" t="inlineStr">
        <is>
          <t>M2</t>
        </is>
      </c>
      <c r="AJ17" s="71" t="n"/>
      <c r="AL17" s="56">
        <f>COUNTIF($F17:$AJ17,"ST*")</f>
        <v/>
      </c>
      <c r="AM17" s="56">
        <f>COUNTIF($F17:$AJ17,"M*")</f>
        <v/>
      </c>
      <c r="AN17" s="56">
        <f>COUNTIF($F17:$AJ17,"A*")</f>
        <v/>
      </c>
      <c r="AO17" s="56">
        <f>COUNTIF($F17:$AJ17,"N*")</f>
        <v/>
      </c>
      <c r="AP17" s="56">
        <f>COUNTIF($F17:$AJ17,"O*")</f>
        <v/>
      </c>
    </row>
    <row r="18" ht="18.75" customHeight="1" s="6">
      <c r="B18" s="65" t="n">
        <v>14</v>
      </c>
      <c r="C18" s="128" t="inlineStr">
        <is>
          <t>Bushra Al Wahiebi - 82657</t>
        </is>
      </c>
      <c r="D18" s="150" t="n"/>
      <c r="F18" s="70" t="inlineStr">
        <is>
          <t>O1</t>
        </is>
      </c>
      <c r="G18" s="57" t="inlineStr">
        <is>
          <t>O2</t>
        </is>
      </c>
      <c r="H18" s="57" t="inlineStr">
        <is>
          <t>O3</t>
        </is>
      </c>
      <c r="I18" s="57" t="inlineStr">
        <is>
          <t>M1</t>
        </is>
      </c>
      <c r="J18" s="57" t="inlineStr">
        <is>
          <t>STA1</t>
        </is>
      </c>
      <c r="K18" s="57" t="inlineStr">
        <is>
          <t>A2</t>
        </is>
      </c>
      <c r="L18" s="57" t="inlineStr">
        <is>
          <t>STN1</t>
        </is>
      </c>
      <c r="M18" s="57" t="inlineStr">
        <is>
          <t>N2</t>
        </is>
      </c>
      <c r="N18" s="57" t="inlineStr">
        <is>
          <t>O1</t>
        </is>
      </c>
      <c r="O18" s="57" t="inlineStr">
        <is>
          <t>O2</t>
        </is>
      </c>
      <c r="P18" s="57" t="inlineStr">
        <is>
          <t>O3</t>
        </is>
      </c>
      <c r="Q18" s="57" t="inlineStr">
        <is>
          <t>M1</t>
        </is>
      </c>
      <c r="R18" s="57" t="inlineStr">
        <is>
          <t>M2</t>
        </is>
      </c>
      <c r="S18" s="57" t="inlineStr">
        <is>
          <t>A1</t>
        </is>
      </c>
      <c r="T18" s="57" t="inlineStr">
        <is>
          <t>STA2</t>
        </is>
      </c>
      <c r="U18" s="57" t="inlineStr">
        <is>
          <t>N1</t>
        </is>
      </c>
      <c r="V18" s="57" t="inlineStr">
        <is>
          <t>O1</t>
        </is>
      </c>
      <c r="W18" s="57" t="inlineStr">
        <is>
          <t>O2</t>
        </is>
      </c>
      <c r="X18" s="57" t="inlineStr">
        <is>
          <t>O3</t>
        </is>
      </c>
      <c r="Y18" s="57" t="inlineStr">
        <is>
          <t>M1</t>
        </is>
      </c>
      <c r="Z18" s="57" t="inlineStr">
        <is>
          <t>M2</t>
        </is>
      </c>
      <c r="AA18" s="57" t="inlineStr">
        <is>
          <t>A1</t>
        </is>
      </c>
      <c r="AB18" s="57" t="inlineStr">
        <is>
          <t>A2</t>
        </is>
      </c>
      <c r="AC18" s="57" t="inlineStr">
        <is>
          <t>N1</t>
        </is>
      </c>
      <c r="AD18" s="57" t="inlineStr">
        <is>
          <t>O1</t>
        </is>
      </c>
      <c r="AE18" s="57" t="inlineStr">
        <is>
          <t>O2</t>
        </is>
      </c>
      <c r="AF18" s="57" t="inlineStr">
        <is>
          <t>O3</t>
        </is>
      </c>
      <c r="AG18" s="57" t="inlineStr">
        <is>
          <t>STM1</t>
        </is>
      </c>
      <c r="AH18" s="57" t="inlineStr">
        <is>
          <t>M2</t>
        </is>
      </c>
      <c r="AI18" s="25" t="inlineStr">
        <is>
          <t>A1</t>
        </is>
      </c>
      <c r="AJ18" s="71" t="n"/>
      <c r="AL18" s="56">
        <f>COUNTIF($F18:$AJ18,"ST*")</f>
        <v/>
      </c>
      <c r="AM18" s="56">
        <f>COUNTIF($F18:$AJ18,"M*")</f>
        <v/>
      </c>
      <c r="AN18" s="56">
        <f>COUNTIF($F18:$AJ18,"A*")</f>
        <v/>
      </c>
      <c r="AO18" s="56">
        <f>COUNTIF($F18:$AJ18,"N*")</f>
        <v/>
      </c>
      <c r="AP18" s="56">
        <f>COUNTIF($F18:$AJ18,"O*")</f>
        <v/>
      </c>
    </row>
    <row r="19" ht="19.5" customHeight="1" s="6" thickBot="1">
      <c r="B19" s="66" t="n">
        <v>15</v>
      </c>
      <c r="C19" s="130" t="inlineStr">
        <is>
          <t>Qasim Al Maqbali - 81409</t>
        </is>
      </c>
      <c r="D19" s="151" t="n"/>
      <c r="F19" s="72" t="inlineStr">
        <is>
          <t>O2</t>
        </is>
      </c>
      <c r="G19" s="73" t="inlineStr">
        <is>
          <t>O3</t>
        </is>
      </c>
      <c r="H19" s="73" t="inlineStr">
        <is>
          <t>M1</t>
        </is>
      </c>
      <c r="I19" s="73" t="inlineStr">
        <is>
          <t>A1</t>
        </is>
      </c>
      <c r="J19" s="73" t="inlineStr">
        <is>
          <t>A2</t>
        </is>
      </c>
      <c r="K19" s="73" t="inlineStr">
        <is>
          <t>STN1</t>
        </is>
      </c>
      <c r="L19" s="73" t="inlineStr">
        <is>
          <t>N2</t>
        </is>
      </c>
      <c r="M19" s="73" t="inlineStr">
        <is>
          <t>O1</t>
        </is>
      </c>
      <c r="N19" s="73" t="inlineStr">
        <is>
          <t>O2</t>
        </is>
      </c>
      <c r="O19" s="73" t="inlineStr">
        <is>
          <t>O3</t>
        </is>
      </c>
      <c r="P19" s="73" t="inlineStr">
        <is>
          <t>TR</t>
        </is>
      </c>
      <c r="Q19" s="73" t="inlineStr">
        <is>
          <t>A1</t>
        </is>
      </c>
      <c r="R19" s="73" t="inlineStr">
        <is>
          <t>A2</t>
        </is>
      </c>
      <c r="S19" s="73" t="inlineStr">
        <is>
          <t>N1</t>
        </is>
      </c>
      <c r="T19" s="73" t="inlineStr">
        <is>
          <t>N2</t>
        </is>
      </c>
      <c r="U19" s="73" t="inlineStr">
        <is>
          <t>O1</t>
        </is>
      </c>
      <c r="V19" s="73" t="inlineStr">
        <is>
          <t>O2</t>
        </is>
      </c>
      <c r="W19" s="73" t="inlineStr">
        <is>
          <t>O3</t>
        </is>
      </c>
      <c r="X19" s="73" t="inlineStr">
        <is>
          <t>M1</t>
        </is>
      </c>
      <c r="Y19" s="73" t="inlineStr">
        <is>
          <t>A1</t>
        </is>
      </c>
      <c r="Z19" s="73" t="inlineStr">
        <is>
          <t>A2</t>
        </is>
      </c>
      <c r="AA19" s="73" t="inlineStr">
        <is>
          <t>N1</t>
        </is>
      </c>
      <c r="AB19" s="73" t="inlineStr">
        <is>
          <t>N2</t>
        </is>
      </c>
      <c r="AC19" s="73" t="inlineStr">
        <is>
          <t>O1</t>
        </is>
      </c>
      <c r="AD19" s="73" t="inlineStr">
        <is>
          <t>O2</t>
        </is>
      </c>
      <c r="AE19" s="73" t="inlineStr">
        <is>
          <t>O3</t>
        </is>
      </c>
      <c r="AF19" s="73" t="inlineStr">
        <is>
          <t>M1</t>
        </is>
      </c>
      <c r="AG19" s="73" t="inlineStr">
        <is>
          <t>M2</t>
        </is>
      </c>
      <c r="AH19" s="73" t="inlineStr">
        <is>
          <t>A1</t>
        </is>
      </c>
      <c r="AI19" s="74" t="inlineStr">
        <is>
          <t>N1</t>
        </is>
      </c>
      <c r="AJ19" s="75" t="n"/>
      <c r="AL19" s="56">
        <f>COUNTIF($F19:$AJ19,"ST*")</f>
        <v/>
      </c>
      <c r="AM19" s="56">
        <f>COUNTIF($F19:$AJ19,"M*")</f>
        <v/>
      </c>
      <c r="AN19" s="56">
        <f>COUNTIF($F19:$AJ19,"A*")</f>
        <v/>
      </c>
      <c r="AO19" s="56">
        <f>COUNTIF($F19:$AJ19,"N*")</f>
        <v/>
      </c>
      <c r="AP19" s="56">
        <f>COUNTIF($F19:$AJ19,"O*")</f>
        <v/>
      </c>
    </row>
    <row r="20">
      <c r="F20" s="20" t="inlineStr">
        <is>
          <t xml:space="preserve"> </t>
        </is>
      </c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  <c r="AE20" s="20" t="n"/>
      <c r="AF20" s="20" t="n"/>
      <c r="AG20" s="20" t="n"/>
      <c r="AH20" s="20" t="n"/>
      <c r="AI20" s="20" t="n"/>
    </row>
    <row r="21" ht="18.75" customHeight="1" s="6">
      <c r="C21" s="90" t="inlineStr">
        <is>
          <t xml:space="preserve">Morning Shift </t>
        </is>
      </c>
      <c r="D21" s="134" t="n"/>
      <c r="E21" s="36" t="n"/>
      <c r="F21" s="37">
        <f>COUNTIF(F$5:F$19,"M*")</f>
        <v/>
      </c>
      <c r="G21" s="37">
        <f>COUNTIF(G$5:G$19,"M*")</f>
        <v/>
      </c>
      <c r="H21" s="37">
        <f>COUNTIF(H$5:H$19,"M*")</f>
        <v/>
      </c>
      <c r="I21" s="37">
        <f>COUNTIF(I$5:I$19,"M*")</f>
        <v/>
      </c>
      <c r="J21" s="37">
        <f>COUNTIF(J$5:J$19,"M*")</f>
        <v/>
      </c>
      <c r="K21" s="37">
        <f>COUNTIF(K$5:K$19,"M*")</f>
        <v/>
      </c>
      <c r="L21" s="37">
        <f>COUNTIF(L$5:L$19,"M*")</f>
        <v/>
      </c>
      <c r="M21" s="37">
        <f>COUNTIF(M$5:M$19,"M*")</f>
        <v/>
      </c>
      <c r="N21" s="37">
        <f>COUNTIF(N$5:N$19,"M*")</f>
        <v/>
      </c>
      <c r="O21" s="37">
        <f>COUNTIF(O$5:O$19,"M*")</f>
        <v/>
      </c>
      <c r="P21" s="37">
        <f>COUNTIF(P$5:P$19,"M*")</f>
        <v/>
      </c>
      <c r="Q21" s="37">
        <f>COUNTIF(Q$5:Q$19,"M*")</f>
        <v/>
      </c>
      <c r="R21" s="37">
        <f>COUNTIF(R$5:R$19,"M*")</f>
        <v/>
      </c>
      <c r="S21" s="37">
        <f>COUNTIF(S$5:S$19,"M*")</f>
        <v/>
      </c>
      <c r="T21" s="37">
        <f>COUNTIF(T$5:T$19,"M*")</f>
        <v/>
      </c>
      <c r="U21" s="37">
        <f>COUNTIF(U$5:U$19,"M*")</f>
        <v/>
      </c>
      <c r="V21" s="37">
        <f>COUNTIF(V$5:V$19,"M*")</f>
        <v/>
      </c>
      <c r="W21" s="37">
        <f>COUNTIF(W$5:W$19,"M*")</f>
        <v/>
      </c>
      <c r="X21" s="37">
        <f>COUNTIF(X$5:X$19,"M*")</f>
        <v/>
      </c>
      <c r="Y21" s="37">
        <f>COUNTIF(Y$5:Y$19,"M*")</f>
        <v/>
      </c>
      <c r="Z21" s="37">
        <f>COUNTIF(Z$5:Z$19,"M*")</f>
        <v/>
      </c>
      <c r="AA21" s="37">
        <f>COUNTIF(AA$5:AA$19,"M*")</f>
        <v/>
      </c>
      <c r="AB21" s="37">
        <f>COUNTIF(AB$5:AB$19,"M*")</f>
        <v/>
      </c>
      <c r="AC21" s="37">
        <f>COUNTIF(AC$5:AC$19,"M*")</f>
        <v/>
      </c>
      <c r="AD21" s="37">
        <f>COUNTIF(AD$5:AD$19,"M*")</f>
        <v/>
      </c>
      <c r="AE21" s="37">
        <f>COUNTIF(AE$5:AE$19,"M*")</f>
        <v/>
      </c>
      <c r="AF21" s="37">
        <f>COUNTIF(AF$5:AF$19,"M*")</f>
        <v/>
      </c>
      <c r="AG21" s="37">
        <f>COUNTIF(AG$5:AG$19,"M*")</f>
        <v/>
      </c>
      <c r="AH21" s="37">
        <f>COUNTIF(AH$5:AH$19,"M*")</f>
        <v/>
      </c>
      <c r="AI21" s="37">
        <f>COUNTIF(AI$5:AI$19,"M*")</f>
        <v/>
      </c>
      <c r="AJ21" s="37" t="inlineStr">
        <is>
          <t xml:space="preserve"> </t>
        </is>
      </c>
    </row>
    <row r="22" ht="18.75" customHeight="1" s="6">
      <c r="C22" s="90" t="inlineStr">
        <is>
          <t xml:space="preserve">Afternoon Shift </t>
        </is>
      </c>
      <c r="D22" s="134" t="n"/>
      <c r="E22" s="36" t="n"/>
      <c r="F22" s="37">
        <f>COUNTIF(F$5:F$19,"A*")</f>
        <v/>
      </c>
      <c r="G22" s="37">
        <f>COUNTIF(G$5:G$19,"A*")</f>
        <v/>
      </c>
      <c r="H22" s="37">
        <f>COUNTIF(H$5:H$19,"A*")</f>
        <v/>
      </c>
      <c r="I22" s="37">
        <f>COUNTIF(I$5:I$19,"A*")</f>
        <v/>
      </c>
      <c r="J22" s="37">
        <f>COUNTIF(J$5:J$19,"A*")</f>
        <v/>
      </c>
      <c r="K22" s="37">
        <f>COUNTIF(K$5:K$19,"A*")</f>
        <v/>
      </c>
      <c r="L22" s="37">
        <f>COUNTIF(L$5:L$19,"A*")</f>
        <v/>
      </c>
      <c r="M22" s="37">
        <f>COUNTIF(M$5:M$19,"A*")</f>
        <v/>
      </c>
      <c r="N22" s="37">
        <f>COUNTIF(N$5:N$19,"A*")</f>
        <v/>
      </c>
      <c r="O22" s="37">
        <f>COUNTIF(O$5:O$19,"A*")</f>
        <v/>
      </c>
      <c r="P22" s="37">
        <f>COUNTIF(P$5:P$19,"A*")</f>
        <v/>
      </c>
      <c r="Q22" s="37">
        <f>COUNTIF(Q$5:Q$19,"A*")</f>
        <v/>
      </c>
      <c r="R22" s="37">
        <f>COUNTIF(R$5:R$19,"A*")</f>
        <v/>
      </c>
      <c r="S22" s="37">
        <f>COUNTIF(S$5:S$19,"A*")</f>
        <v/>
      </c>
      <c r="T22" s="37">
        <f>COUNTIF(T$5:T$19,"A*")</f>
        <v/>
      </c>
      <c r="U22" s="37">
        <f>COUNTIF(U$5:U$19,"A*")</f>
        <v/>
      </c>
      <c r="V22" s="37">
        <f>COUNTIF(V$5:V$19,"A*")</f>
        <v/>
      </c>
      <c r="W22" s="37">
        <f>COUNTIF(W$5:W$19,"A*")</f>
        <v/>
      </c>
      <c r="X22" s="37">
        <f>COUNTIF(X$5:X$19,"A*")</f>
        <v/>
      </c>
      <c r="Y22" s="37">
        <f>COUNTIF(Y$5:Y$19,"A*")</f>
        <v/>
      </c>
      <c r="Z22" s="37">
        <f>COUNTIF(Z$5:Z$19,"A*")</f>
        <v/>
      </c>
      <c r="AA22" s="37">
        <f>COUNTIF(AA$5:AA$19,"A*")</f>
        <v/>
      </c>
      <c r="AB22" s="37">
        <f>COUNTIF(AB$5:AB$19,"A*")</f>
        <v/>
      </c>
      <c r="AC22" s="37">
        <f>COUNTIF(AC$5:AC$19,"A*")</f>
        <v/>
      </c>
      <c r="AD22" s="37">
        <f>COUNTIF(AD$5:AD$19,"A*")</f>
        <v/>
      </c>
      <c r="AE22" s="37">
        <f>COUNTIF(AE$5:AE$19,"A*")</f>
        <v/>
      </c>
      <c r="AF22" s="37">
        <f>COUNTIF(AF$5:AF$19,"A*")</f>
        <v/>
      </c>
      <c r="AG22" s="37">
        <f>COUNTIF(AG$5:AG$19,"A*")</f>
        <v/>
      </c>
      <c r="AH22" s="37">
        <f>COUNTIF(AH$5:AH$19,"A*")</f>
        <v/>
      </c>
      <c r="AI22" s="37">
        <f>COUNTIF(AI$5:AI$19,"A*")</f>
        <v/>
      </c>
      <c r="AJ22" s="37" t="inlineStr">
        <is>
          <t xml:space="preserve"> </t>
        </is>
      </c>
    </row>
    <row r="23" ht="18.75" customHeight="1" s="6">
      <c r="C23" s="90" t="inlineStr">
        <is>
          <t xml:space="preserve">Night Shift </t>
        </is>
      </c>
      <c r="D23" s="134" t="n"/>
      <c r="E23" s="36" t="n"/>
      <c r="F23" s="37">
        <f>COUNTIF(F$5:F$19,"N*")</f>
        <v/>
      </c>
      <c r="G23" s="37">
        <f>COUNTIF(G$5:G$19,"N*")</f>
        <v/>
      </c>
      <c r="H23" s="37">
        <f>COUNTIF(H$5:H$19,"N*")</f>
        <v/>
      </c>
      <c r="I23" s="37">
        <f>COUNTIF(I$5:I$19,"N*")</f>
        <v/>
      </c>
      <c r="J23" s="37">
        <f>COUNTIF(J$5:J$19,"N*")</f>
        <v/>
      </c>
      <c r="K23" s="37">
        <f>COUNTIF(K$5:K$19,"N*")</f>
        <v/>
      </c>
      <c r="L23" s="37">
        <f>COUNTIF(L$5:L$19,"N*")</f>
        <v/>
      </c>
      <c r="M23" s="37">
        <f>COUNTIF(M$5:M$19,"N*")</f>
        <v/>
      </c>
      <c r="N23" s="37">
        <f>COUNTIF(N$5:N$19,"N*")</f>
        <v/>
      </c>
      <c r="O23" s="37">
        <f>COUNTIF(O$5:O$19,"N*")</f>
        <v/>
      </c>
      <c r="P23" s="37">
        <f>COUNTIF(P$5:P$19,"N*")</f>
        <v/>
      </c>
      <c r="Q23" s="37">
        <f>COUNTIF(Q$5:Q$19,"N*")</f>
        <v/>
      </c>
      <c r="R23" s="37">
        <f>COUNTIF(R$5:R$19,"N*")</f>
        <v/>
      </c>
      <c r="S23" s="37">
        <f>COUNTIF(S$5:S$19,"N*")</f>
        <v/>
      </c>
      <c r="T23" s="37">
        <f>COUNTIF(T$5:T$19,"N*")</f>
        <v/>
      </c>
      <c r="U23" s="37">
        <f>COUNTIF(U$5:U$19,"N*")</f>
        <v/>
      </c>
      <c r="V23" s="37">
        <f>COUNTIF(V$5:V$19,"N*")</f>
        <v/>
      </c>
      <c r="W23" s="37">
        <f>COUNTIF(W$5:W$19,"N*")</f>
        <v/>
      </c>
      <c r="X23" s="37">
        <f>COUNTIF(X$5:X$19,"N*")</f>
        <v/>
      </c>
      <c r="Y23" s="37">
        <f>COUNTIF(Y$5:Y$19,"N*")</f>
        <v/>
      </c>
      <c r="Z23" s="37">
        <f>COUNTIF(Z$5:Z$19,"N*")</f>
        <v/>
      </c>
      <c r="AA23" s="37">
        <f>COUNTIF(AA$5:AA$19,"N*")</f>
        <v/>
      </c>
      <c r="AB23" s="37">
        <f>COUNTIF(AB$5:AB$19,"N*")</f>
        <v/>
      </c>
      <c r="AC23" s="37">
        <f>COUNTIF(AC$5:AC$19,"N*")</f>
        <v/>
      </c>
      <c r="AD23" s="37">
        <f>COUNTIF(AD$5:AD$19,"N*")</f>
        <v/>
      </c>
      <c r="AE23" s="37">
        <f>COUNTIF(AE$5:AE$19,"N*")</f>
        <v/>
      </c>
      <c r="AF23" s="37">
        <f>COUNTIF(AF$5:AF$19,"N*")</f>
        <v/>
      </c>
      <c r="AG23" s="37">
        <f>COUNTIF(AG$5:AG$19,"N*")</f>
        <v/>
      </c>
      <c r="AH23" s="37">
        <f>COUNTIF(AH$5:AH$19,"N*")</f>
        <v/>
      </c>
      <c r="AI23" s="37">
        <f>COUNTIF(AI$5:AI$19,"N*")</f>
        <v/>
      </c>
      <c r="AJ23" s="37" t="inlineStr">
        <is>
          <t xml:space="preserve"> </t>
        </is>
      </c>
    </row>
    <row r="24" ht="18.75" customHeight="1" s="6">
      <c r="C24" s="90" t="inlineStr">
        <is>
          <t>Offday</t>
        </is>
      </c>
      <c r="D24" s="134" t="n"/>
      <c r="E24" s="36" t="n"/>
      <c r="F24" s="37">
        <f>COUNTIF(F$5:F$19,"O*")</f>
        <v/>
      </c>
      <c r="G24" s="37">
        <f>COUNTIF(G$5:G$19,"O*")</f>
        <v/>
      </c>
      <c r="H24" s="37">
        <f>COUNTIF(H$5:H$19,"O*")</f>
        <v/>
      </c>
      <c r="I24" s="37">
        <f>COUNTIF(I$5:I$19,"O*")</f>
        <v/>
      </c>
      <c r="J24" s="37">
        <f>COUNTIF(J$5:J$19,"O*")</f>
        <v/>
      </c>
      <c r="K24" s="37">
        <f>COUNTIF(K$5:K$19,"O*")</f>
        <v/>
      </c>
      <c r="L24" s="37">
        <f>COUNTIF(L$5:L$19,"O*")</f>
        <v/>
      </c>
      <c r="M24" s="37">
        <f>COUNTIF(M$5:M$19,"O*")</f>
        <v/>
      </c>
      <c r="N24" s="37">
        <f>COUNTIF(N$5:N$19,"O*")</f>
        <v/>
      </c>
      <c r="O24" s="37">
        <f>COUNTIF(O$5:O$19,"O*")</f>
        <v/>
      </c>
      <c r="P24" s="37">
        <f>COUNTIF(P$5:P$19,"O*")</f>
        <v/>
      </c>
      <c r="Q24" s="37">
        <f>COUNTIF(Q$5:Q$19,"O*")</f>
        <v/>
      </c>
      <c r="R24" s="37">
        <f>COUNTIF(R$5:R$19,"O*")</f>
        <v/>
      </c>
      <c r="S24" s="37">
        <f>COUNTIF(S$5:S$19,"O*")</f>
        <v/>
      </c>
      <c r="T24" s="37">
        <f>COUNTIF(T$5:T$19,"O*")</f>
        <v/>
      </c>
      <c r="U24" s="37">
        <f>COUNTIF(U$5:U$19,"O*")</f>
        <v/>
      </c>
      <c r="V24" s="37">
        <f>COUNTIF(V$5:V$19,"O*")</f>
        <v/>
      </c>
      <c r="W24" s="37">
        <f>COUNTIF(W$5:W$19,"O*")</f>
        <v/>
      </c>
      <c r="X24" s="37">
        <f>COUNTIF(X$5:X$19,"O*")</f>
        <v/>
      </c>
      <c r="Y24" s="37">
        <f>COUNTIF(Y$5:Y$19,"O*")</f>
        <v/>
      </c>
      <c r="Z24" s="37">
        <f>COUNTIF(Z$5:Z$19,"O*")</f>
        <v/>
      </c>
      <c r="AA24" s="37">
        <f>COUNTIF(AA$5:AA$19,"O*")</f>
        <v/>
      </c>
      <c r="AB24" s="37">
        <f>COUNTIF(AB$5:AB$19,"O*")</f>
        <v/>
      </c>
      <c r="AC24" s="37">
        <f>COUNTIF(AC$5:AC$19,"O*")</f>
        <v/>
      </c>
      <c r="AD24" s="37">
        <f>COUNTIF(AD$5:AD$19,"O*")</f>
        <v/>
      </c>
      <c r="AE24" s="37">
        <f>COUNTIF(AE$5:AE$19,"O*")</f>
        <v/>
      </c>
      <c r="AF24" s="37">
        <f>COUNTIF(AF$5:AF$19,"O*")</f>
        <v/>
      </c>
      <c r="AG24" s="37">
        <f>COUNTIF(AG$5:AG$19,"O*")</f>
        <v/>
      </c>
      <c r="AH24" s="37">
        <f>COUNTIF(AH$5:AH$19,"O*")</f>
        <v/>
      </c>
      <c r="AI24" s="37">
        <f>COUNTIF(AI$5:AI$19,"O*")</f>
        <v/>
      </c>
      <c r="AJ24" s="37" t="inlineStr">
        <is>
          <t xml:space="preserve"> </t>
        </is>
      </c>
    </row>
    <row r="25" ht="18.75" customHeight="1" s="6">
      <c r="C25" s="90" t="inlineStr">
        <is>
          <t>Standby Staffs</t>
        </is>
      </c>
      <c r="D25" s="134" t="n"/>
      <c r="E25" s="36" t="n"/>
      <c r="F25" s="37">
        <f>COUNTIF(F$5:F$19,"ST*")</f>
        <v/>
      </c>
      <c r="G25" s="37">
        <f>COUNTIF(G$5:G$19,"ST*")</f>
        <v/>
      </c>
      <c r="H25" s="37">
        <f>COUNTIF(H$5:H$19,"ST*")</f>
        <v/>
      </c>
      <c r="I25" s="37">
        <f>COUNTIF(I$5:I$19,"ST*")</f>
        <v/>
      </c>
      <c r="J25" s="37">
        <f>COUNTIF(J$5:J$19,"ST*")</f>
        <v/>
      </c>
      <c r="K25" s="37">
        <f>COUNTIF(K$5:K$19,"ST*")</f>
        <v/>
      </c>
      <c r="L25" s="37">
        <f>COUNTIF(L$5:L$19,"ST*")</f>
        <v/>
      </c>
      <c r="M25" s="37">
        <f>COUNTIF(M$5:M$19,"ST*")</f>
        <v/>
      </c>
      <c r="N25" s="37">
        <f>COUNTIF(N$5:N$19,"ST*")</f>
        <v/>
      </c>
      <c r="O25" s="37">
        <f>COUNTIF(O$5:O$19,"ST*")</f>
        <v/>
      </c>
      <c r="P25" s="37">
        <f>COUNTIF(P$5:P$19,"ST*")</f>
        <v/>
      </c>
      <c r="Q25" s="37">
        <f>COUNTIF(Q$5:Q$19,"ST*")</f>
        <v/>
      </c>
      <c r="R25" s="37">
        <f>COUNTIF(R$5:R$19,"ST*")</f>
        <v/>
      </c>
      <c r="S25" s="37">
        <f>COUNTIF(S$5:S$19,"ST*")</f>
        <v/>
      </c>
      <c r="T25" s="37">
        <f>COUNTIF(T$5:T$19,"ST*")</f>
        <v/>
      </c>
      <c r="U25" s="37">
        <f>COUNTIF(U$5:U$19,"ST*")</f>
        <v/>
      </c>
      <c r="V25" s="37">
        <f>COUNTIF(V$5:V$19,"ST*")</f>
        <v/>
      </c>
      <c r="W25" s="37">
        <f>COUNTIF(W$5:W$19,"ST*")</f>
        <v/>
      </c>
      <c r="X25" s="37">
        <f>COUNTIF(X$5:X$19,"ST*")</f>
        <v/>
      </c>
      <c r="Y25" s="37">
        <f>COUNTIF(Y$5:Y$19,"ST*")</f>
        <v/>
      </c>
      <c r="Z25" s="37">
        <f>COUNTIF(Z$5:Z$19,"ST*")</f>
        <v/>
      </c>
      <c r="AA25" s="37">
        <f>COUNTIF(AA$5:AA$19,"ST*")</f>
        <v/>
      </c>
      <c r="AB25" s="37">
        <f>COUNTIF(AB$5:AB$19,"ST*")</f>
        <v/>
      </c>
      <c r="AC25" s="37">
        <f>COUNTIF(AC$5:AC$19,"ST*")</f>
        <v/>
      </c>
      <c r="AD25" s="37">
        <f>COUNTIF(AD$5:AD$19,"ST*")</f>
        <v/>
      </c>
      <c r="AE25" s="37">
        <f>COUNTIF(AE$5:AE$19,"ST*")</f>
        <v/>
      </c>
      <c r="AF25" s="37">
        <f>COUNTIF(AF$5:AF$19,"ST*")</f>
        <v/>
      </c>
      <c r="AG25" s="37">
        <f>COUNTIF(AG$5:AG$19,"ST*")</f>
        <v/>
      </c>
      <c r="AH25" s="37">
        <f>COUNTIF(AH$5:AH$19,"ST*")</f>
        <v/>
      </c>
      <c r="AI25" s="37">
        <f>COUNTIF(AI$5:AI$19,"ST*")</f>
        <v/>
      </c>
      <c r="AJ25" s="37" t="inlineStr">
        <is>
          <t xml:space="preserve"> </t>
        </is>
      </c>
    </row>
    <row r="26" ht="18.75" customHeight="1" s="6">
      <c r="C26" s="88" t="inlineStr">
        <is>
          <t>Extra Staffs</t>
        </is>
      </c>
      <c r="D26" s="134" t="n"/>
      <c r="E26" s="38" t="n"/>
      <c r="F26" s="59">
        <f>F28-F29</f>
        <v/>
      </c>
      <c r="G26" s="59">
        <f>G28-G29</f>
        <v/>
      </c>
      <c r="H26" s="59">
        <f>H28-H29</f>
        <v/>
      </c>
      <c r="I26" s="59">
        <f>I28-I29</f>
        <v/>
      </c>
      <c r="J26" s="59">
        <f>J28-J29</f>
        <v/>
      </c>
      <c r="K26" s="59">
        <f>K28-K29</f>
        <v/>
      </c>
      <c r="L26" s="59">
        <f>L28-L29</f>
        <v/>
      </c>
      <c r="M26" s="59">
        <f>M28-M29</f>
        <v/>
      </c>
      <c r="N26" s="59">
        <f>N28-N29</f>
        <v/>
      </c>
      <c r="O26" s="59">
        <f>O28-O29</f>
        <v/>
      </c>
      <c r="P26" s="59">
        <f>P28-P29</f>
        <v/>
      </c>
      <c r="Q26" s="59">
        <f>Q28-Q29</f>
        <v/>
      </c>
      <c r="R26" s="59">
        <f>R28-R29</f>
        <v/>
      </c>
      <c r="S26" s="59">
        <f>S28-S29</f>
        <v/>
      </c>
      <c r="T26" s="59">
        <f>T28-T29</f>
        <v/>
      </c>
      <c r="U26" s="59">
        <f>U28-U29</f>
        <v/>
      </c>
      <c r="V26" s="59">
        <f>V28-V29</f>
        <v/>
      </c>
      <c r="W26" s="59">
        <f>W28-W29</f>
        <v/>
      </c>
      <c r="X26" s="59">
        <f>X28-X29</f>
        <v/>
      </c>
      <c r="Y26" s="59">
        <f>Y28-Y29</f>
        <v/>
      </c>
      <c r="Z26" s="59">
        <f>Z28-Z29</f>
        <v/>
      </c>
      <c r="AA26" s="59">
        <f>AA28-AA29</f>
        <v/>
      </c>
      <c r="AB26" s="59">
        <f>AB28-AB29</f>
        <v/>
      </c>
      <c r="AC26" s="59">
        <f>AC28-AC29</f>
        <v/>
      </c>
      <c r="AD26" s="59">
        <f>AD28-AD29</f>
        <v/>
      </c>
      <c r="AE26" s="59">
        <f>AE28-AE29</f>
        <v/>
      </c>
      <c r="AF26" s="59">
        <f>AF28-AF29</f>
        <v/>
      </c>
      <c r="AG26" s="59">
        <f>AG28-AG29</f>
        <v/>
      </c>
      <c r="AH26" s="59">
        <f>AH28-AH29</f>
        <v/>
      </c>
      <c r="AI26" s="59">
        <f>AI28-AI29</f>
        <v/>
      </c>
      <c r="AJ26" s="59" t="inlineStr">
        <is>
          <t xml:space="preserve"> </t>
        </is>
      </c>
    </row>
    <row r="27" ht="18.75" customHeight="1" s="6">
      <c r="C27" s="40" t="n"/>
      <c r="D27" s="40" t="n"/>
      <c r="E27" s="36" t="n"/>
      <c r="F27" s="89" t="n"/>
      <c r="G27" s="133" t="n"/>
      <c r="H27" s="133" t="n"/>
      <c r="I27" s="133" t="n"/>
      <c r="J27" s="133" t="n"/>
      <c r="K27" s="133" t="n"/>
      <c r="L27" s="133" t="n"/>
      <c r="M27" s="133" t="n"/>
      <c r="N27" s="133" t="n"/>
      <c r="O27" s="133" t="n"/>
      <c r="P27" s="133" t="n"/>
      <c r="Q27" s="133" t="n"/>
      <c r="R27" s="133" t="n"/>
      <c r="S27" s="133" t="n"/>
      <c r="T27" s="133" t="n"/>
      <c r="U27" s="133" t="n"/>
      <c r="V27" s="133" t="n"/>
      <c r="W27" s="133" t="n"/>
      <c r="X27" s="133" t="n"/>
      <c r="Y27" s="133" t="n"/>
      <c r="Z27" s="133" t="n"/>
      <c r="AA27" s="133" t="n"/>
      <c r="AB27" s="133" t="n"/>
      <c r="AC27" s="133" t="n"/>
      <c r="AD27" s="133" t="n"/>
      <c r="AE27" s="133" t="n"/>
      <c r="AF27" s="133" t="n"/>
      <c r="AG27" s="133" t="n"/>
      <c r="AH27" s="133" t="n"/>
      <c r="AI27" s="133" t="n"/>
      <c r="AJ27" s="133" t="n"/>
    </row>
    <row r="28" ht="18.75" customHeight="1" s="6">
      <c r="C28" s="90" t="inlineStr">
        <is>
          <t xml:space="preserve">On duty </t>
        </is>
      </c>
      <c r="D28" s="134" t="n"/>
      <c r="E28" s="36" t="n"/>
      <c r="F28" s="41">
        <f>SUM(F21:F23)</f>
        <v/>
      </c>
      <c r="G28" s="41">
        <f>SUM(G21:G23)</f>
        <v/>
      </c>
      <c r="H28" s="41">
        <f>SUM(H21:H23)</f>
        <v/>
      </c>
      <c r="I28" s="41">
        <f>SUM(I21:I23)</f>
        <v/>
      </c>
      <c r="J28" s="41">
        <f>SUM(J21:J23)</f>
        <v/>
      </c>
      <c r="K28" s="41">
        <f>SUM(K21:K23)</f>
        <v/>
      </c>
      <c r="L28" s="41">
        <f>SUM(L21:L23)</f>
        <v/>
      </c>
      <c r="M28" s="41">
        <f>SUM(M21:M23)</f>
        <v/>
      </c>
      <c r="N28" s="41">
        <f>SUM(N21:N23)</f>
        <v/>
      </c>
      <c r="O28" s="41">
        <f>SUM(O21:O23)</f>
        <v/>
      </c>
      <c r="P28" s="41">
        <f>SUM(P21:P23)</f>
        <v/>
      </c>
      <c r="Q28" s="41">
        <f>SUM(Q21:Q23)</f>
        <v/>
      </c>
      <c r="R28" s="41">
        <f>SUM(R21:R23)</f>
        <v/>
      </c>
      <c r="S28" s="41">
        <f>SUM(S21:S23)</f>
        <v/>
      </c>
      <c r="T28" s="41">
        <f>SUM(T21:T23)</f>
        <v/>
      </c>
      <c r="U28" s="41">
        <f>SUM(U21:U23)</f>
        <v/>
      </c>
      <c r="V28" s="41">
        <f>SUM(V21:V23)</f>
        <v/>
      </c>
      <c r="W28" s="41">
        <f>SUM(W21:W23)</f>
        <v/>
      </c>
      <c r="X28" s="41">
        <f>SUM(X21:X23)</f>
        <v/>
      </c>
      <c r="Y28" s="41">
        <f>SUM(Y21:Y23)</f>
        <v/>
      </c>
      <c r="Z28" s="41">
        <f>SUM(Z21:Z23)</f>
        <v/>
      </c>
      <c r="AA28" s="41">
        <f>SUM(AA21:AA23)</f>
        <v/>
      </c>
      <c r="AB28" s="41">
        <f>SUM(AB21:AB23)</f>
        <v/>
      </c>
      <c r="AC28" s="41">
        <f>SUM(AC21:AC23)</f>
        <v/>
      </c>
      <c r="AD28" s="41">
        <f>SUM(AD21:AD23)</f>
        <v/>
      </c>
      <c r="AE28" s="41">
        <f>SUM(AE21:AE23)</f>
        <v/>
      </c>
      <c r="AF28" s="41">
        <f>SUM(AF21:AF23)</f>
        <v/>
      </c>
      <c r="AG28" s="41">
        <f>SUM(AG21:AG23)</f>
        <v/>
      </c>
      <c r="AH28" s="41">
        <f>SUM(AH21:AH23)</f>
        <v/>
      </c>
      <c r="AI28" s="41">
        <f>SUM(AI21:AI23)</f>
        <v/>
      </c>
      <c r="AJ28" s="41" t="inlineStr">
        <is>
          <t xml:space="preserve"> </t>
        </is>
      </c>
    </row>
    <row r="29" ht="18.75" customHeight="1" s="6">
      <c r="C29" s="90" t="inlineStr">
        <is>
          <t xml:space="preserve">Minimum Requirement </t>
        </is>
      </c>
      <c r="D29" s="134" t="n"/>
      <c r="E29" s="36" t="n"/>
      <c r="F29" s="37" t="n">
        <v>6</v>
      </c>
      <c r="G29" s="37" t="n">
        <v>6</v>
      </c>
      <c r="H29" s="37" t="n">
        <v>6</v>
      </c>
      <c r="I29" s="37" t="n">
        <v>6</v>
      </c>
      <c r="J29" s="37" t="n">
        <v>6</v>
      </c>
      <c r="K29" s="37" t="n">
        <v>6</v>
      </c>
      <c r="L29" s="37" t="n">
        <v>6</v>
      </c>
      <c r="M29" s="37" t="n">
        <v>6</v>
      </c>
      <c r="N29" s="37" t="n">
        <v>6</v>
      </c>
      <c r="O29" s="37" t="n">
        <v>6</v>
      </c>
      <c r="P29" s="37" t="n">
        <v>6</v>
      </c>
      <c r="Q29" s="37" t="n">
        <v>6</v>
      </c>
      <c r="R29" s="37" t="n">
        <v>6</v>
      </c>
      <c r="S29" s="37" t="n">
        <v>6</v>
      </c>
      <c r="T29" s="37" t="n">
        <v>6</v>
      </c>
      <c r="U29" s="37" t="n">
        <v>6</v>
      </c>
      <c r="V29" s="37" t="n">
        <v>6</v>
      </c>
      <c r="W29" s="37" t="n">
        <v>6</v>
      </c>
      <c r="X29" s="37" t="n">
        <v>6</v>
      </c>
      <c r="Y29" s="37" t="n">
        <v>6</v>
      </c>
      <c r="Z29" s="37" t="n">
        <v>6</v>
      </c>
      <c r="AA29" s="37" t="n">
        <v>6</v>
      </c>
      <c r="AB29" s="37" t="n">
        <v>6</v>
      </c>
      <c r="AC29" s="37" t="n">
        <v>6</v>
      </c>
      <c r="AD29" s="37" t="n">
        <v>6</v>
      </c>
      <c r="AE29" s="37" t="n">
        <v>6</v>
      </c>
      <c r="AF29" s="37" t="n">
        <v>6</v>
      </c>
      <c r="AG29" s="37" t="n">
        <v>6</v>
      </c>
      <c r="AH29" s="37" t="n">
        <v>6</v>
      </c>
      <c r="AI29" s="37" t="n">
        <v>6</v>
      </c>
      <c r="AJ29" s="37" t="inlineStr">
        <is>
          <t xml:space="preserve"> </t>
        </is>
      </c>
    </row>
    <row r="30" ht="18.75" customHeight="1" s="6">
      <c r="C30" s="90" t="inlineStr">
        <is>
          <t xml:space="preserve">Total Staffs  </t>
        </is>
      </c>
      <c r="D30" s="134" t="n"/>
      <c r="E30" s="36" t="n"/>
      <c r="F30" s="37">
        <f>SUM(F21,F22,F23,F24,F25)</f>
        <v/>
      </c>
      <c r="G30" s="37">
        <f>SUM(G21,G22,G23,G24,G25)</f>
        <v/>
      </c>
      <c r="H30" s="37">
        <f>SUM(H21,H22,H23,H24,H25)</f>
        <v/>
      </c>
      <c r="I30" s="37">
        <f>SUM(I21,I22,I23,I24,I25)</f>
        <v/>
      </c>
      <c r="J30" s="37">
        <f>SUM(J21,J22,J23,J24,J25)</f>
        <v/>
      </c>
      <c r="K30" s="37">
        <f>SUM(K21,K22,K23,K24,K25)</f>
        <v/>
      </c>
      <c r="L30" s="37">
        <f>SUM(L21,L22,L23,L24,L25)</f>
        <v/>
      </c>
      <c r="M30" s="37">
        <f>SUM(M21,M22,M23,M24,M25)</f>
        <v/>
      </c>
      <c r="N30" s="37">
        <f>SUM(N21,N22,N23,N24,N25)</f>
        <v/>
      </c>
      <c r="O30" s="37">
        <f>SUM(O21,O22,O23,O24,O25)</f>
        <v/>
      </c>
      <c r="P30" s="37">
        <f>SUM(P21,P22,P23,P24,P25)</f>
        <v/>
      </c>
      <c r="Q30" s="37">
        <f>SUM(Q21,Q22,Q23,Q24,Q25)</f>
        <v/>
      </c>
      <c r="R30" s="37">
        <f>SUM(R21,R22,R23,R24,R25)</f>
        <v/>
      </c>
      <c r="S30" s="37">
        <f>SUM(S21,S22,S23,S24,S25)</f>
        <v/>
      </c>
      <c r="T30" s="37">
        <f>SUM(T21,T22,T23,T24,T25)</f>
        <v/>
      </c>
      <c r="U30" s="37">
        <f>SUM(U21,U22,U23,U24,U25)</f>
        <v/>
      </c>
      <c r="V30" s="37">
        <f>SUM(V21,V22,V23,V24,V25)</f>
        <v/>
      </c>
      <c r="W30" s="37">
        <f>SUM(W21,W22,W23,W24,W25)</f>
        <v/>
      </c>
      <c r="X30" s="37">
        <f>SUM(X21,X22,X23,X24,X25)</f>
        <v/>
      </c>
      <c r="Y30" s="37">
        <f>SUM(Y21,Y22,Y23,Y24,Y25)</f>
        <v/>
      </c>
      <c r="Z30" s="37">
        <f>SUM(Z21,Z22,Z23,Z24,Z25)</f>
        <v/>
      </c>
      <c r="AA30" s="37">
        <f>SUM(AA21,AA22,AA23,AA24,AA25)</f>
        <v/>
      </c>
      <c r="AB30" s="37">
        <f>SUM(AB21,AB22,AB23,AB24,AB25)</f>
        <v/>
      </c>
      <c r="AC30" s="37">
        <f>SUM(AC21,AC22,AC23,AC24,AC25)</f>
        <v/>
      </c>
      <c r="AD30" s="37">
        <f>SUM(AD21,AD22,AD23,AD24,AD25)</f>
        <v/>
      </c>
      <c r="AE30" s="37">
        <f>SUM(AE21,AE22,AE23,AE24,AE25)</f>
        <v/>
      </c>
      <c r="AF30" s="37">
        <f>SUM(AF21,AF22,AF23,AF24,AF25)</f>
        <v/>
      </c>
      <c r="AG30" s="37">
        <f>SUM(AG21,AG22,AG23,AG24,AG25)</f>
        <v/>
      </c>
      <c r="AH30" s="37">
        <f>SUM(AH21,AH22,AH23,AH24,AH25)</f>
        <v/>
      </c>
      <c r="AI30" s="37">
        <f>SUM(AI21,AI22,AI23,AI24,AI25)</f>
        <v/>
      </c>
      <c r="AJ30" s="37" t="inlineStr">
        <is>
          <t xml:space="preserve"> </t>
        </is>
      </c>
    </row>
    <row r="32" ht="9.75" customHeight="1" s="6"/>
  </sheetData>
  <mergeCells count="32">
    <mergeCell ref="B3:D4"/>
    <mergeCell ref="AO2:AO4"/>
    <mergeCell ref="AP2:AP4"/>
    <mergeCell ref="C9:D9"/>
    <mergeCell ref="F2:AJ2"/>
    <mergeCell ref="AL2:AL4"/>
    <mergeCell ref="AM2:AM4"/>
    <mergeCell ref="AN2:AN4"/>
    <mergeCell ref="C5:D5"/>
    <mergeCell ref="C6:D6"/>
    <mergeCell ref="C7:D7"/>
    <mergeCell ref="C8:D8"/>
    <mergeCell ref="C28:D28"/>
    <mergeCell ref="C29:D29"/>
    <mergeCell ref="C30:D30"/>
    <mergeCell ref="C10:D10"/>
    <mergeCell ref="C11:D11"/>
    <mergeCell ref="C12:D12"/>
    <mergeCell ref="C13:D13"/>
    <mergeCell ref="C24:D24"/>
    <mergeCell ref="C19:D19"/>
    <mergeCell ref="C15:D15"/>
    <mergeCell ref="C21:D21"/>
    <mergeCell ref="C23:D23"/>
    <mergeCell ref="C22:D22"/>
    <mergeCell ref="C25:D25"/>
    <mergeCell ref="F27:AJ27"/>
    <mergeCell ref="C14:D14"/>
    <mergeCell ref="C16:D16"/>
    <mergeCell ref="C17:D17"/>
    <mergeCell ref="C18:D18"/>
    <mergeCell ref="C26:D26"/>
  </mergeCells>
  <conditionalFormatting sqref="F5:AI19">
    <cfRule type="containsText" priority="2" operator="containsText" dxfId="8" text="STN">
      <formula>NOT(ISERROR(SEARCH("STN",F5)))</formula>
    </cfRule>
    <cfRule type="containsText" priority="3" operator="containsText" dxfId="20" text="STN">
      <formula>NOT(ISERROR(SEARCH("STN",F5)))</formula>
    </cfRule>
    <cfRule type="containsText" priority="4" operator="containsText" dxfId="4" text="STM">
      <formula>NOT(ISERROR(SEARCH("STM",F5)))</formula>
    </cfRule>
    <cfRule type="containsText" priority="5" operator="containsText" dxfId="17" text="M">
      <formula>NOT(ISERROR(SEARCH("M",F5)))</formula>
    </cfRule>
    <cfRule type="containsText" priority="6" operator="containsText" dxfId="17" text="STM1">
      <formula>NOT(ISERROR(SEARCH("STM1",F5)))</formula>
    </cfRule>
    <cfRule type="containsText" priority="7" operator="containsText" dxfId="16" text="M">
      <formula>NOT(ISERROR(SEARCH("M",F5)))</formula>
    </cfRule>
    <cfRule type="containsText" priority="8" operator="containsText" dxfId="15" text="STM">
      <formula>NOT(ISERROR(SEARCH("STM",F5)))</formula>
    </cfRule>
    <cfRule type="containsText" priority="9" operator="containsText" dxfId="14" text="STM">
      <formula>NOT(ISERROR(SEARCH("STM",F5)))</formula>
    </cfRule>
  </conditionalFormatting>
  <conditionalFormatting sqref="F5:AJ19">
    <cfRule type="containsText" priority="1" operator="containsText" dxfId="72" text="TR">
      <formula>NOT(ISERROR(SEARCH("TR",F5)))</formula>
    </cfRule>
  </conditionalFormatting>
  <conditionalFormatting sqref="G5:AI5 F6:AI19">
    <cfRule type="containsText" priority="10" operator="containsText" dxfId="6" text="STM1">
      <formula>NOT(ISERROR(SEARCH("STM1",F5)))</formula>
    </cfRule>
    <cfRule type="containsText" priority="11" operator="containsText" dxfId="5" text="STA">
      <formula>NOT(ISERROR(SEARCH("STA",F5)))</formula>
    </cfRule>
    <cfRule type="containsText" priority="12" operator="containsText" dxfId="4" text="STM1">
      <formula>NOT(ISERROR(SEARCH("STM1",F5)))</formula>
    </cfRule>
    <cfRule type="containsText" priority="13" operator="containsText" dxfId="3" text="O">
      <formula>NOT(ISERROR(SEARCH("O",F5)))</formula>
    </cfRule>
    <cfRule type="containsText" priority="14" operator="containsText" dxfId="2" text="N">
      <formula>NOT(ISERROR(SEARCH("N",F5)))</formula>
    </cfRule>
    <cfRule type="containsText" priority="15" operator="containsText" dxfId="1" text="A">
      <formula>NOT(ISERROR(SEARCH("A",F5)))</formula>
    </cfRule>
    <cfRule type="containsText" priority="16" operator="containsText" dxfId="0" text="M">
      <formula>NOT(ISERROR(SEARCH("M",F5)))</formula>
    </cfRule>
  </conditionalFormatting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AP35"/>
  <sheetViews>
    <sheetView zoomScale="90" zoomScaleNormal="9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AF11" sqref="AF11"/>
    </sheetView>
  </sheetViews>
  <sheetFormatPr baseColWidth="8" defaultRowHeight="15.75"/>
  <cols>
    <col width="3.42578125" customWidth="1" style="18" min="1" max="1"/>
    <col width="6" customWidth="1" style="18" min="2" max="2"/>
    <col width="12.85546875" customWidth="1" style="18" min="3" max="3"/>
    <col width="22.7109375" customWidth="1" style="20" min="4" max="4"/>
    <col width="2.28515625" customWidth="1" style="18" min="5" max="5"/>
    <col width="10.7109375" customWidth="1" style="18" min="6" max="36"/>
    <col width="4.28515625" customWidth="1" style="18" min="37" max="37"/>
    <col width="9.140625" customWidth="1" style="18" min="38" max="16384"/>
  </cols>
  <sheetData>
    <row r="2" ht="39" customHeight="1" s="6">
      <c r="F2" s="112" t="inlineStr">
        <is>
          <t>Export Operators Roster for the Month of November 2025</t>
        </is>
      </c>
      <c r="G2" s="133" t="n"/>
      <c r="H2" s="133" t="n"/>
      <c r="I2" s="133" t="n"/>
      <c r="J2" s="133" t="n"/>
      <c r="K2" s="133" t="n"/>
      <c r="L2" s="133" t="n"/>
      <c r="M2" s="133" t="n"/>
      <c r="N2" s="133" t="n"/>
      <c r="O2" s="133" t="n"/>
      <c r="P2" s="133" t="n"/>
      <c r="Q2" s="133" t="n"/>
      <c r="R2" s="133" t="n"/>
      <c r="S2" s="133" t="n"/>
      <c r="T2" s="133" t="n"/>
      <c r="U2" s="133" t="n"/>
      <c r="V2" s="133" t="n"/>
      <c r="W2" s="133" t="n"/>
      <c r="X2" s="133" t="n"/>
      <c r="Y2" s="133" t="n"/>
      <c r="Z2" s="133" t="n"/>
      <c r="AA2" s="133" t="n"/>
      <c r="AB2" s="133" t="n"/>
      <c r="AC2" s="133" t="n"/>
      <c r="AD2" s="133" t="n"/>
      <c r="AE2" s="133" t="n"/>
      <c r="AF2" s="133" t="n"/>
      <c r="AG2" s="133" t="n"/>
      <c r="AH2" s="133" t="n"/>
      <c r="AI2" s="133" t="n"/>
      <c r="AJ2" s="134" t="n"/>
      <c r="AL2" s="141" t="inlineStr">
        <is>
          <t xml:space="preserve">Staff Number Of Days Standby </t>
        </is>
      </c>
      <c r="AM2" s="141" t="inlineStr">
        <is>
          <t>Staff's Morning Duty</t>
        </is>
      </c>
      <c r="AN2" s="141" t="inlineStr">
        <is>
          <t>Staff's Afternoon Duty</t>
        </is>
      </c>
      <c r="AO2" s="141" t="inlineStr">
        <is>
          <t>Staff's Night Duty</t>
        </is>
      </c>
      <c r="AP2" s="141" t="inlineStr">
        <is>
          <t>Staff's Offdays</t>
        </is>
      </c>
    </row>
    <row r="3" ht="39" customHeight="1" s="6">
      <c r="B3" s="91" t="inlineStr">
        <is>
          <t>Employee</t>
        </is>
      </c>
      <c r="C3" s="142" t="n"/>
      <c r="D3" s="132" t="n"/>
      <c r="F3" s="28" t="inlineStr">
        <is>
          <t>SAT</t>
        </is>
      </c>
      <c r="G3" s="29" t="inlineStr">
        <is>
          <t>SUN</t>
        </is>
      </c>
      <c r="H3" s="29" t="inlineStr">
        <is>
          <t>MON</t>
        </is>
      </c>
      <c r="I3" s="28" t="inlineStr">
        <is>
          <t>TUE</t>
        </is>
      </c>
      <c r="J3" s="29" t="inlineStr">
        <is>
          <t>WED</t>
        </is>
      </c>
      <c r="K3" s="29" t="inlineStr">
        <is>
          <t>THU</t>
        </is>
      </c>
      <c r="L3" s="28" t="inlineStr">
        <is>
          <t>FRI</t>
        </is>
      </c>
      <c r="M3" s="29" t="inlineStr">
        <is>
          <t>SAT</t>
        </is>
      </c>
      <c r="N3" s="29" t="inlineStr">
        <is>
          <t>SUN</t>
        </is>
      </c>
      <c r="O3" s="28" t="inlineStr">
        <is>
          <t>MON</t>
        </is>
      </c>
      <c r="P3" s="29" t="inlineStr">
        <is>
          <t>TUE</t>
        </is>
      </c>
      <c r="Q3" s="29" t="inlineStr">
        <is>
          <t>WED</t>
        </is>
      </c>
      <c r="R3" s="28" t="inlineStr">
        <is>
          <t>THU</t>
        </is>
      </c>
      <c r="S3" s="29" t="inlineStr">
        <is>
          <t>FRI</t>
        </is>
      </c>
      <c r="T3" s="29" t="inlineStr">
        <is>
          <t>SAT</t>
        </is>
      </c>
      <c r="U3" s="28" t="inlineStr">
        <is>
          <t>SUN</t>
        </is>
      </c>
      <c r="V3" s="29" t="inlineStr">
        <is>
          <t>MON</t>
        </is>
      </c>
      <c r="W3" s="29" t="inlineStr">
        <is>
          <t>TUE</t>
        </is>
      </c>
      <c r="X3" s="28" t="inlineStr">
        <is>
          <t>WED</t>
        </is>
      </c>
      <c r="Y3" s="29" t="inlineStr">
        <is>
          <t>THU</t>
        </is>
      </c>
      <c r="Z3" s="29" t="inlineStr">
        <is>
          <t>FRI</t>
        </is>
      </c>
      <c r="AA3" s="28" t="inlineStr">
        <is>
          <t>SAT</t>
        </is>
      </c>
      <c r="AB3" s="29" t="inlineStr">
        <is>
          <t>SUN</t>
        </is>
      </c>
      <c r="AC3" s="29" t="inlineStr">
        <is>
          <t>MON</t>
        </is>
      </c>
      <c r="AD3" s="28" t="inlineStr">
        <is>
          <t>TUE</t>
        </is>
      </c>
      <c r="AE3" s="29" t="inlineStr">
        <is>
          <t>WED</t>
        </is>
      </c>
      <c r="AF3" s="29" t="inlineStr">
        <is>
          <t>THU</t>
        </is>
      </c>
      <c r="AG3" s="28" t="inlineStr">
        <is>
          <t>FRI</t>
        </is>
      </c>
      <c r="AH3" s="29" t="inlineStr">
        <is>
          <t>SAT</t>
        </is>
      </c>
      <c r="AI3" s="29" t="inlineStr">
        <is>
          <t>SUN</t>
        </is>
      </c>
      <c r="AJ3" s="31" t="n"/>
      <c r="AL3" s="11" t="n"/>
      <c r="AM3" s="11" t="n"/>
      <c r="AN3" s="11" t="n"/>
      <c r="AO3" s="11" t="n"/>
      <c r="AP3" s="11" t="n"/>
    </row>
    <row r="4" ht="19.5" customHeight="1" s="6" thickBot="1">
      <c r="B4" s="137" t="n"/>
      <c r="C4" s="143" t="n"/>
      <c r="D4" s="138" t="n"/>
      <c r="F4" s="32" t="n">
        <v>1</v>
      </c>
      <c r="G4" s="33" t="n">
        <v>2</v>
      </c>
      <c r="H4" s="33" t="n">
        <v>3</v>
      </c>
      <c r="I4" s="32" t="n">
        <v>4</v>
      </c>
      <c r="J4" s="33" t="n">
        <v>5</v>
      </c>
      <c r="K4" s="33" t="n">
        <v>6</v>
      </c>
      <c r="L4" s="32" t="n">
        <v>7</v>
      </c>
      <c r="M4" s="33" t="n">
        <v>8</v>
      </c>
      <c r="N4" s="33" t="n">
        <v>9</v>
      </c>
      <c r="O4" s="32" t="n">
        <v>10</v>
      </c>
      <c r="P4" s="33" t="n">
        <v>11</v>
      </c>
      <c r="Q4" s="33" t="n">
        <v>12</v>
      </c>
      <c r="R4" s="32" t="n">
        <v>13</v>
      </c>
      <c r="S4" s="33" t="n">
        <v>14</v>
      </c>
      <c r="T4" s="33" t="n">
        <v>15</v>
      </c>
      <c r="U4" s="32" t="n">
        <v>16</v>
      </c>
      <c r="V4" s="33" t="n">
        <v>17</v>
      </c>
      <c r="W4" s="33" t="n">
        <v>18</v>
      </c>
      <c r="X4" s="32" t="n">
        <v>19</v>
      </c>
      <c r="Y4" s="33" t="n">
        <v>20</v>
      </c>
      <c r="Z4" s="33" t="n">
        <v>21</v>
      </c>
      <c r="AA4" s="32" t="n">
        <v>22</v>
      </c>
      <c r="AB4" s="33" t="n">
        <v>23</v>
      </c>
      <c r="AC4" s="33" t="n">
        <v>24</v>
      </c>
      <c r="AD4" s="32" t="n">
        <v>25</v>
      </c>
      <c r="AE4" s="33" t="n">
        <v>26</v>
      </c>
      <c r="AF4" s="33" t="n">
        <v>27</v>
      </c>
      <c r="AG4" s="32" t="n">
        <v>28</v>
      </c>
      <c r="AH4" s="33" t="n">
        <v>29</v>
      </c>
      <c r="AI4" s="33" t="n">
        <v>30</v>
      </c>
      <c r="AJ4" s="35" t="n"/>
      <c r="AL4" s="12" t="n"/>
      <c r="AM4" s="12" t="n"/>
      <c r="AN4" s="12" t="n"/>
      <c r="AO4" s="12" t="n"/>
      <c r="AP4" s="12" t="n"/>
    </row>
    <row r="5" ht="18.75" customHeight="1" s="6">
      <c r="B5" s="37" t="n">
        <v>1</v>
      </c>
      <c r="C5" s="126" t="inlineStr">
        <is>
          <t>Mohana Al Subhi - 8714</t>
        </is>
      </c>
      <c r="D5" s="138" t="n"/>
      <c r="F5" s="27" t="inlineStr">
        <is>
          <t>M1</t>
        </is>
      </c>
      <c r="G5" s="23" t="inlineStr">
        <is>
          <t>M2</t>
        </is>
      </c>
      <c r="H5" s="23" t="inlineStr">
        <is>
          <t>STA1</t>
        </is>
      </c>
      <c r="I5" s="23" t="inlineStr">
        <is>
          <t>N1</t>
        </is>
      </c>
      <c r="J5" s="23" t="inlineStr">
        <is>
          <t>N2</t>
        </is>
      </c>
      <c r="K5" s="23" t="inlineStr">
        <is>
          <t>O1</t>
        </is>
      </c>
      <c r="L5" s="23" t="inlineStr">
        <is>
          <t>O2</t>
        </is>
      </c>
      <c r="M5" s="23" t="inlineStr">
        <is>
          <t>O3</t>
        </is>
      </c>
      <c r="N5" s="23" t="inlineStr">
        <is>
          <t>M1</t>
        </is>
      </c>
      <c r="O5" s="23" t="inlineStr">
        <is>
          <t>M2</t>
        </is>
      </c>
      <c r="P5" s="23" t="inlineStr">
        <is>
          <t>A1</t>
        </is>
      </c>
      <c r="Q5" s="23" t="inlineStr">
        <is>
          <t>N1</t>
        </is>
      </c>
      <c r="R5" s="23" t="inlineStr">
        <is>
          <t>N2</t>
        </is>
      </c>
      <c r="S5" s="23" t="inlineStr">
        <is>
          <t>O1</t>
        </is>
      </c>
      <c r="T5" s="23" t="inlineStr">
        <is>
          <t>O2</t>
        </is>
      </c>
      <c r="U5" s="23" t="inlineStr">
        <is>
          <t>O3</t>
        </is>
      </c>
      <c r="V5" s="23" t="inlineStr">
        <is>
          <t>STM1</t>
        </is>
      </c>
      <c r="W5" s="23" t="inlineStr">
        <is>
          <t>M2</t>
        </is>
      </c>
      <c r="X5" s="23" t="inlineStr">
        <is>
          <t>A1</t>
        </is>
      </c>
      <c r="Y5" s="23" t="inlineStr">
        <is>
          <t>A2</t>
        </is>
      </c>
      <c r="Z5" s="23" t="inlineStr">
        <is>
          <t>STN1</t>
        </is>
      </c>
      <c r="AA5" s="23" t="inlineStr">
        <is>
          <t>O1</t>
        </is>
      </c>
      <c r="AB5" s="23" t="inlineStr">
        <is>
          <t>O2</t>
        </is>
      </c>
      <c r="AC5" s="23" t="inlineStr">
        <is>
          <t>O3</t>
        </is>
      </c>
      <c r="AD5" s="23" t="inlineStr">
        <is>
          <t>M1</t>
        </is>
      </c>
      <c r="AE5" s="23" t="inlineStr">
        <is>
          <t>A1</t>
        </is>
      </c>
      <c r="AF5" s="23" t="inlineStr">
        <is>
          <t>N1</t>
        </is>
      </c>
      <c r="AG5" s="23" t="inlineStr">
        <is>
          <t>N2</t>
        </is>
      </c>
      <c r="AH5" s="23" t="inlineStr">
        <is>
          <t>N3</t>
        </is>
      </c>
      <c r="AI5" s="24" t="inlineStr">
        <is>
          <t>O1</t>
        </is>
      </c>
      <c r="AJ5" s="46" t="n"/>
      <c r="AL5" s="56">
        <f>COUNTIF($F5:$AJ5,"ST*")</f>
        <v/>
      </c>
      <c r="AM5" s="56">
        <f>COUNTIF($F5:$AJ5,"M*")</f>
        <v/>
      </c>
      <c r="AN5" s="56">
        <f>COUNTIF($F5:$AJ5,"A*")</f>
        <v/>
      </c>
      <c r="AO5" s="56">
        <f>COUNTIF($F5:$AJ5,"N*")</f>
        <v/>
      </c>
      <c r="AP5" s="56">
        <f>COUNTIF($F5:$AJ5,"O*")</f>
        <v/>
      </c>
    </row>
    <row r="6" ht="18.75" customHeight="1" s="6">
      <c r="B6" s="37" t="n">
        <v>2</v>
      </c>
      <c r="C6" s="92" t="inlineStr">
        <is>
          <t>Mohamed Al Amri - 81224</t>
        </is>
      </c>
      <c r="D6" s="134" t="n"/>
      <c r="F6" s="57" t="inlineStr">
        <is>
          <t>O1</t>
        </is>
      </c>
      <c r="G6" s="57" t="inlineStr">
        <is>
          <t>A2</t>
        </is>
      </c>
      <c r="H6" s="57" t="inlineStr">
        <is>
          <t>N1</t>
        </is>
      </c>
      <c r="I6" s="57" t="inlineStr">
        <is>
          <t>N2</t>
        </is>
      </c>
      <c r="J6" s="57" t="inlineStr">
        <is>
          <t>O1</t>
        </is>
      </c>
      <c r="K6" s="57" t="inlineStr">
        <is>
          <t>O2</t>
        </is>
      </c>
      <c r="L6" s="57" t="inlineStr">
        <is>
          <t>O3</t>
        </is>
      </c>
      <c r="M6" s="57" t="inlineStr">
        <is>
          <t>M1</t>
        </is>
      </c>
      <c r="N6" s="57" t="inlineStr">
        <is>
          <t>M2</t>
        </is>
      </c>
      <c r="O6" s="57" t="inlineStr">
        <is>
          <t>A1</t>
        </is>
      </c>
      <c r="P6" s="57" t="inlineStr">
        <is>
          <t>N1</t>
        </is>
      </c>
      <c r="Q6" s="57" t="inlineStr">
        <is>
          <t>N2</t>
        </is>
      </c>
      <c r="R6" s="57" t="inlineStr">
        <is>
          <t>O1</t>
        </is>
      </c>
      <c r="S6" s="57" t="inlineStr">
        <is>
          <t>O2</t>
        </is>
      </c>
      <c r="T6" s="57" t="inlineStr">
        <is>
          <t>O3</t>
        </is>
      </c>
      <c r="U6" s="57" t="inlineStr">
        <is>
          <t>M1</t>
        </is>
      </c>
      <c r="V6" s="57" t="inlineStr">
        <is>
          <t>A1</t>
        </is>
      </c>
      <c r="W6" s="57" t="inlineStr">
        <is>
          <t>A2</t>
        </is>
      </c>
      <c r="X6" s="57" t="inlineStr">
        <is>
          <t>N1</t>
        </is>
      </c>
      <c r="Y6" s="57" t="inlineStr">
        <is>
          <t>N2</t>
        </is>
      </c>
      <c r="Z6" s="57" t="inlineStr">
        <is>
          <t>O1</t>
        </is>
      </c>
      <c r="AA6" s="57" t="inlineStr">
        <is>
          <t>O2</t>
        </is>
      </c>
      <c r="AB6" s="57" t="inlineStr">
        <is>
          <t>O3</t>
        </is>
      </c>
      <c r="AC6" s="57" t="inlineStr">
        <is>
          <t>M1</t>
        </is>
      </c>
      <c r="AD6" s="57" t="inlineStr">
        <is>
          <t>A1</t>
        </is>
      </c>
      <c r="AE6" s="57" t="inlineStr">
        <is>
          <t>A2</t>
        </is>
      </c>
      <c r="AF6" s="57" t="inlineStr">
        <is>
          <t>N1</t>
        </is>
      </c>
      <c r="AG6" s="57" t="inlineStr">
        <is>
          <t>N2</t>
        </is>
      </c>
      <c r="AH6" s="57" t="inlineStr">
        <is>
          <t>O1</t>
        </is>
      </c>
      <c r="AI6" s="25" t="inlineStr">
        <is>
          <t>O2</t>
        </is>
      </c>
      <c r="AJ6" s="57" t="n"/>
      <c r="AL6" s="56">
        <f>COUNTIF($F6:$AJ6,"ST*")</f>
        <v/>
      </c>
      <c r="AM6" s="56">
        <f>COUNTIF($F6:$AJ6,"M*")</f>
        <v/>
      </c>
      <c r="AN6" s="56">
        <f>COUNTIF($F6:$AJ6,"A*")</f>
        <v/>
      </c>
      <c r="AO6" s="56">
        <f>COUNTIF($F6:$AJ6,"N*")</f>
        <v/>
      </c>
      <c r="AP6" s="56">
        <f>COUNTIF($F6:$AJ6,"O*")</f>
        <v/>
      </c>
    </row>
    <row r="7" ht="18.75" customHeight="1" s="6">
      <c r="B7" s="37" t="n">
        <v>3</v>
      </c>
      <c r="C7" s="92" t="inlineStr">
        <is>
          <t>Khalifa Al Saadi - 82537</t>
        </is>
      </c>
      <c r="D7" s="134" t="n"/>
      <c r="F7" s="57" t="inlineStr">
        <is>
          <t>A1</t>
        </is>
      </c>
      <c r="G7" s="57" t="inlineStr">
        <is>
          <t>N1</t>
        </is>
      </c>
      <c r="H7" s="57" t="inlineStr">
        <is>
          <t>N2</t>
        </is>
      </c>
      <c r="I7" s="57" t="inlineStr">
        <is>
          <t>O1</t>
        </is>
      </c>
      <c r="J7" s="57" t="inlineStr">
        <is>
          <t>O2</t>
        </is>
      </c>
      <c r="K7" s="57" t="inlineStr">
        <is>
          <t>O3</t>
        </is>
      </c>
      <c r="L7" s="57" t="inlineStr">
        <is>
          <t>M1</t>
        </is>
      </c>
      <c r="M7" s="57" t="inlineStr">
        <is>
          <t>A1</t>
        </is>
      </c>
      <c r="N7" s="57" t="inlineStr">
        <is>
          <t>A2</t>
        </is>
      </c>
      <c r="O7" s="57" t="inlineStr">
        <is>
          <t>N1</t>
        </is>
      </c>
      <c r="P7" s="57" t="inlineStr">
        <is>
          <t>N2</t>
        </is>
      </c>
      <c r="Q7" s="57" t="inlineStr">
        <is>
          <t>O1</t>
        </is>
      </c>
      <c r="R7" s="57" t="inlineStr">
        <is>
          <t>O2</t>
        </is>
      </c>
      <c r="S7" s="57" t="inlineStr">
        <is>
          <t>O3</t>
        </is>
      </c>
      <c r="T7" s="57" t="inlineStr">
        <is>
          <t>M1</t>
        </is>
      </c>
      <c r="U7" s="57" t="inlineStr">
        <is>
          <t>A1</t>
        </is>
      </c>
      <c r="V7" s="57" t="inlineStr">
        <is>
          <t>A2</t>
        </is>
      </c>
      <c r="W7" s="57" t="inlineStr">
        <is>
          <t>N1</t>
        </is>
      </c>
      <c r="X7" s="57" t="inlineStr">
        <is>
          <t>N2</t>
        </is>
      </c>
      <c r="Y7" s="57" t="inlineStr">
        <is>
          <t>O1</t>
        </is>
      </c>
      <c r="Z7" s="57" t="inlineStr">
        <is>
          <t>O2</t>
        </is>
      </c>
      <c r="AA7" s="57" t="inlineStr">
        <is>
          <t>O3</t>
        </is>
      </c>
      <c r="AB7" s="57" t="inlineStr">
        <is>
          <t>M1</t>
        </is>
      </c>
      <c r="AC7" s="57" t="inlineStr">
        <is>
          <t>A1</t>
        </is>
      </c>
      <c r="AD7" s="57" t="inlineStr">
        <is>
          <t>A2</t>
        </is>
      </c>
      <c r="AE7" s="57" t="inlineStr">
        <is>
          <t>TR</t>
        </is>
      </c>
      <c r="AF7" s="57" t="inlineStr">
        <is>
          <t>N2</t>
        </is>
      </c>
      <c r="AG7" s="57" t="inlineStr">
        <is>
          <t>O1</t>
        </is>
      </c>
      <c r="AH7" s="57" t="inlineStr">
        <is>
          <t>O2</t>
        </is>
      </c>
      <c r="AI7" s="25" t="inlineStr">
        <is>
          <t>O3</t>
        </is>
      </c>
      <c r="AJ7" s="57" t="n"/>
      <c r="AL7" s="56">
        <f>COUNTIF($F7:$AJ7,"ST*")</f>
        <v/>
      </c>
      <c r="AM7" s="56">
        <f>COUNTIF($F7:$AJ7,"M*")</f>
        <v/>
      </c>
      <c r="AN7" s="56">
        <f>COUNTIF($F7:$AJ7,"A*")</f>
        <v/>
      </c>
      <c r="AO7" s="56">
        <f>COUNTIF($F7:$AJ7,"N*")</f>
        <v/>
      </c>
      <c r="AP7" s="56">
        <f>COUNTIF($F7:$AJ7,"O*")</f>
        <v/>
      </c>
    </row>
    <row r="8" ht="18.75" customHeight="1" s="6">
      <c r="B8" s="37" t="n">
        <v>4</v>
      </c>
      <c r="C8" s="92" t="inlineStr">
        <is>
          <t xml:space="preserve">Khamis Al Hinai - 82467 </t>
        </is>
      </c>
      <c r="D8" s="134" t="n"/>
      <c r="F8" s="57" t="inlineStr">
        <is>
          <t>N1</t>
        </is>
      </c>
      <c r="G8" s="57" t="inlineStr">
        <is>
          <t>N2</t>
        </is>
      </c>
      <c r="H8" s="57" t="inlineStr">
        <is>
          <t>O1</t>
        </is>
      </c>
      <c r="I8" s="57" t="inlineStr">
        <is>
          <t>O2</t>
        </is>
      </c>
      <c r="J8" s="57" t="inlineStr">
        <is>
          <t>O3</t>
        </is>
      </c>
      <c r="K8" s="57" t="inlineStr">
        <is>
          <t>M1</t>
        </is>
      </c>
      <c r="L8" s="57" t="inlineStr">
        <is>
          <t>A1</t>
        </is>
      </c>
      <c r="M8" s="57" t="inlineStr">
        <is>
          <t>A2</t>
        </is>
      </c>
      <c r="N8" s="57" t="inlineStr">
        <is>
          <t>N1</t>
        </is>
      </c>
      <c r="O8" s="57" t="inlineStr">
        <is>
          <t>N2</t>
        </is>
      </c>
      <c r="P8" s="57" t="inlineStr">
        <is>
          <t>O1</t>
        </is>
      </c>
      <c r="Q8" s="57" t="inlineStr">
        <is>
          <t>O2</t>
        </is>
      </c>
      <c r="R8" s="57" t="inlineStr">
        <is>
          <t>O3</t>
        </is>
      </c>
      <c r="S8" s="57" t="inlineStr">
        <is>
          <t>M1</t>
        </is>
      </c>
      <c r="T8" s="57" t="inlineStr">
        <is>
          <t>M2</t>
        </is>
      </c>
      <c r="U8" s="57" t="inlineStr">
        <is>
          <t>A1</t>
        </is>
      </c>
      <c r="V8" s="57" t="inlineStr">
        <is>
          <t>STN1</t>
        </is>
      </c>
      <c r="W8" s="57" t="inlineStr">
        <is>
          <t>N2</t>
        </is>
      </c>
      <c r="X8" s="57" t="inlineStr">
        <is>
          <t>O1</t>
        </is>
      </c>
      <c r="Y8" s="57" t="inlineStr">
        <is>
          <t>O2</t>
        </is>
      </c>
      <c r="Z8" s="57" t="inlineStr">
        <is>
          <t>O3</t>
        </is>
      </c>
      <c r="AA8" s="57" t="inlineStr">
        <is>
          <t>M1</t>
        </is>
      </c>
      <c r="AB8" s="57" t="inlineStr">
        <is>
          <t>A1</t>
        </is>
      </c>
      <c r="AC8" s="57" t="inlineStr">
        <is>
          <t>A2</t>
        </is>
      </c>
      <c r="AD8" s="57" t="inlineStr">
        <is>
          <t>N1</t>
        </is>
      </c>
      <c r="AE8" s="57" t="inlineStr">
        <is>
          <t>N2</t>
        </is>
      </c>
      <c r="AF8" s="57" t="inlineStr">
        <is>
          <t>O1</t>
        </is>
      </c>
      <c r="AG8" s="57" t="inlineStr">
        <is>
          <t>O2</t>
        </is>
      </c>
      <c r="AH8" s="57" t="inlineStr">
        <is>
          <t>O3</t>
        </is>
      </c>
      <c r="AI8" s="25" t="inlineStr">
        <is>
          <t>M1</t>
        </is>
      </c>
      <c r="AJ8" s="57" t="n"/>
      <c r="AL8" s="56">
        <f>COUNTIF($F8:$AJ8,"ST*")</f>
        <v/>
      </c>
      <c r="AM8" s="56">
        <f>COUNTIF($F8:$AJ8,"M*")</f>
        <v/>
      </c>
      <c r="AN8" s="56">
        <f>COUNTIF($F8:$AJ8,"A*")</f>
        <v/>
      </c>
      <c r="AO8" s="56">
        <f>COUNTIF($F8:$AJ8,"N*")</f>
        <v/>
      </c>
      <c r="AP8" s="56">
        <f>COUNTIF($F8:$AJ8,"O*")</f>
        <v/>
      </c>
    </row>
    <row r="9" ht="18.75" customHeight="1" s="6">
      <c r="B9" s="37" t="n">
        <v>5</v>
      </c>
      <c r="C9" s="92" t="inlineStr">
        <is>
          <t>Mazin Al Siyabi - 81223</t>
        </is>
      </c>
      <c r="D9" s="134" t="n"/>
      <c r="F9" s="57" t="inlineStr">
        <is>
          <t>N2</t>
        </is>
      </c>
      <c r="G9" s="57" t="inlineStr">
        <is>
          <t>O1</t>
        </is>
      </c>
      <c r="H9" s="57" t="inlineStr">
        <is>
          <t>O2</t>
        </is>
      </c>
      <c r="I9" s="57" t="inlineStr">
        <is>
          <t>O3</t>
        </is>
      </c>
      <c r="J9" s="57" t="inlineStr">
        <is>
          <t>M1</t>
        </is>
      </c>
      <c r="K9" s="57" t="inlineStr">
        <is>
          <t>A1</t>
        </is>
      </c>
      <c r="L9" s="57" t="inlineStr">
        <is>
          <t>A2</t>
        </is>
      </c>
      <c r="M9" s="57" t="inlineStr">
        <is>
          <t>N1</t>
        </is>
      </c>
      <c r="N9" s="57" t="inlineStr">
        <is>
          <t>N2</t>
        </is>
      </c>
      <c r="O9" s="57" t="inlineStr">
        <is>
          <t>O1</t>
        </is>
      </c>
      <c r="P9" s="57" t="inlineStr">
        <is>
          <t>O2</t>
        </is>
      </c>
      <c r="Q9" s="57" t="inlineStr">
        <is>
          <t>O3</t>
        </is>
      </c>
      <c r="R9" s="57" t="inlineStr">
        <is>
          <t>M1</t>
        </is>
      </c>
      <c r="S9" s="57" t="inlineStr">
        <is>
          <t>M2</t>
        </is>
      </c>
      <c r="T9" s="57" t="inlineStr">
        <is>
          <t>A1</t>
        </is>
      </c>
      <c r="U9" s="57" t="inlineStr">
        <is>
          <t>STN1</t>
        </is>
      </c>
      <c r="V9" s="57" t="inlineStr">
        <is>
          <t>N2</t>
        </is>
      </c>
      <c r="W9" s="57" t="inlineStr">
        <is>
          <t>O1</t>
        </is>
      </c>
      <c r="X9" s="57" t="inlineStr">
        <is>
          <t>O2</t>
        </is>
      </c>
      <c r="Y9" s="57" t="inlineStr">
        <is>
          <t>O3</t>
        </is>
      </c>
      <c r="Z9" s="57" t="inlineStr">
        <is>
          <t>M1</t>
        </is>
      </c>
      <c r="AA9" s="57" t="inlineStr">
        <is>
          <t>M2</t>
        </is>
      </c>
      <c r="AB9" s="57" t="inlineStr">
        <is>
          <t>A1</t>
        </is>
      </c>
      <c r="AC9" s="57" t="inlineStr">
        <is>
          <t>STN1</t>
        </is>
      </c>
      <c r="AD9" s="57" t="inlineStr">
        <is>
          <t>N2</t>
        </is>
      </c>
      <c r="AE9" s="57" t="inlineStr">
        <is>
          <t>O1</t>
        </is>
      </c>
      <c r="AF9" s="57" t="inlineStr">
        <is>
          <t>O2</t>
        </is>
      </c>
      <c r="AG9" s="57" t="inlineStr">
        <is>
          <t>O3</t>
        </is>
      </c>
      <c r="AH9" s="57" t="inlineStr">
        <is>
          <t>M1</t>
        </is>
      </c>
      <c r="AI9" s="25" t="inlineStr">
        <is>
          <t>M2</t>
        </is>
      </c>
      <c r="AJ9" s="57" t="n"/>
      <c r="AL9" s="56">
        <f>COUNTIF($F9:$AJ9,"ST*")</f>
        <v/>
      </c>
      <c r="AM9" s="56">
        <f>COUNTIF($F9:$AJ9,"M*")</f>
        <v/>
      </c>
      <c r="AN9" s="56">
        <f>COUNTIF($F9:$AJ9,"A*")</f>
        <v/>
      </c>
      <c r="AO9" s="56">
        <f>COUNTIF($F9:$AJ9,"N*")</f>
        <v/>
      </c>
      <c r="AP9" s="56">
        <f>COUNTIF($F9:$AJ9,"O*")</f>
        <v/>
      </c>
    </row>
    <row r="10" ht="18.75" customHeight="1" s="6">
      <c r="B10" s="37" t="n">
        <v>6</v>
      </c>
      <c r="C10" s="92" t="inlineStr">
        <is>
          <t>Adil Al Oraimi - 8941</t>
        </is>
      </c>
      <c r="D10" s="134" t="n"/>
      <c r="F10" s="57" t="inlineStr">
        <is>
          <t>O1</t>
        </is>
      </c>
      <c r="G10" s="57" t="inlineStr">
        <is>
          <t>O2</t>
        </is>
      </c>
      <c r="H10" s="57" t="inlineStr">
        <is>
          <t>O3</t>
        </is>
      </c>
      <c r="I10" s="57" t="inlineStr">
        <is>
          <t>M1</t>
        </is>
      </c>
      <c r="J10" s="57" t="inlineStr">
        <is>
          <t>A1</t>
        </is>
      </c>
      <c r="K10" s="57" t="inlineStr">
        <is>
          <t>A2</t>
        </is>
      </c>
      <c r="L10" s="57" t="inlineStr">
        <is>
          <t>N1</t>
        </is>
      </c>
      <c r="M10" s="57" t="inlineStr">
        <is>
          <t>N2</t>
        </is>
      </c>
      <c r="N10" s="57" t="inlineStr">
        <is>
          <t>O1</t>
        </is>
      </c>
      <c r="O10" s="57" t="inlineStr">
        <is>
          <t>O2</t>
        </is>
      </c>
      <c r="P10" s="57" t="inlineStr">
        <is>
          <t>O3</t>
        </is>
      </c>
      <c r="Q10" s="57" t="inlineStr">
        <is>
          <t>M1</t>
        </is>
      </c>
      <c r="R10" s="57" t="inlineStr">
        <is>
          <t>M2</t>
        </is>
      </c>
      <c r="S10" s="57" t="inlineStr">
        <is>
          <t>A1</t>
        </is>
      </c>
      <c r="T10" s="57" t="inlineStr">
        <is>
          <t>N1</t>
        </is>
      </c>
      <c r="U10" s="57" t="inlineStr">
        <is>
          <t>N2</t>
        </is>
      </c>
      <c r="V10" s="57" t="inlineStr">
        <is>
          <t>O1</t>
        </is>
      </c>
      <c r="W10" s="57" t="inlineStr">
        <is>
          <t>O2</t>
        </is>
      </c>
      <c r="X10" s="57" t="inlineStr">
        <is>
          <t>O3</t>
        </is>
      </c>
      <c r="Y10" s="57" t="inlineStr">
        <is>
          <t>M1</t>
        </is>
      </c>
      <c r="Z10" s="57" t="inlineStr">
        <is>
          <t>M2</t>
        </is>
      </c>
      <c r="AA10" s="57" t="inlineStr">
        <is>
          <t>A1</t>
        </is>
      </c>
      <c r="AB10" s="57" t="inlineStr">
        <is>
          <t>STN1</t>
        </is>
      </c>
      <c r="AC10" s="57" t="inlineStr">
        <is>
          <t>N2</t>
        </is>
      </c>
      <c r="AD10" s="57" t="inlineStr">
        <is>
          <t>O1</t>
        </is>
      </c>
      <c r="AE10" s="57" t="inlineStr">
        <is>
          <t>O2</t>
        </is>
      </c>
      <c r="AF10" s="57" t="inlineStr">
        <is>
          <t>O3</t>
        </is>
      </c>
      <c r="AG10" s="57" t="inlineStr">
        <is>
          <t>M1</t>
        </is>
      </c>
      <c r="AH10" s="57" t="inlineStr">
        <is>
          <t>A1</t>
        </is>
      </c>
      <c r="AI10" s="25" t="inlineStr">
        <is>
          <t>STN1</t>
        </is>
      </c>
      <c r="AJ10" s="57" t="n"/>
      <c r="AL10" s="56">
        <f>COUNTIF($F10:$AJ10,"ST*")</f>
        <v/>
      </c>
      <c r="AM10" s="56">
        <f>COUNTIF($F10:$AJ10,"M*")</f>
        <v/>
      </c>
      <c r="AN10" s="56">
        <f>COUNTIF($F10:$AJ10,"A*")</f>
        <v/>
      </c>
      <c r="AO10" s="56">
        <f>COUNTIF($F10:$AJ10,"N*")</f>
        <v/>
      </c>
      <c r="AP10" s="56">
        <f>COUNTIF($F10:$AJ10,"O*")</f>
        <v/>
      </c>
    </row>
    <row r="11" ht="18.75" customHeight="1" s="6">
      <c r="B11" s="37" t="n">
        <v>7</v>
      </c>
      <c r="C11" s="92" t="inlineStr">
        <is>
          <t>Badar Al Hamadani - 81307</t>
        </is>
      </c>
      <c r="D11" s="134" t="n"/>
      <c r="F11" s="57" t="inlineStr">
        <is>
          <t>O2</t>
        </is>
      </c>
      <c r="G11" s="57" t="inlineStr">
        <is>
          <t>O3</t>
        </is>
      </c>
      <c r="H11" s="57" t="inlineStr">
        <is>
          <t>STM1</t>
        </is>
      </c>
      <c r="I11" s="57" t="inlineStr">
        <is>
          <t>M2</t>
        </is>
      </c>
      <c r="J11" s="57" t="inlineStr">
        <is>
          <t>A1</t>
        </is>
      </c>
      <c r="K11" s="57" t="inlineStr">
        <is>
          <t>N1</t>
        </is>
      </c>
      <c r="L11" s="57" t="inlineStr">
        <is>
          <t>N2</t>
        </is>
      </c>
      <c r="M11" s="57" t="inlineStr">
        <is>
          <t>O1</t>
        </is>
      </c>
      <c r="N11" s="57" t="inlineStr">
        <is>
          <t>O2</t>
        </is>
      </c>
      <c r="O11" s="57" t="inlineStr">
        <is>
          <t>O3</t>
        </is>
      </c>
      <c r="P11" s="57" t="inlineStr">
        <is>
          <t>STM1</t>
        </is>
      </c>
      <c r="Q11" s="57" t="inlineStr">
        <is>
          <t>A1</t>
        </is>
      </c>
      <c r="R11" s="57" t="inlineStr">
        <is>
          <t>N1</t>
        </is>
      </c>
      <c r="S11" s="57" t="inlineStr">
        <is>
          <t>N2</t>
        </is>
      </c>
      <c r="T11" s="57" t="inlineStr">
        <is>
          <t>N3</t>
        </is>
      </c>
      <c r="U11" s="57" t="inlineStr">
        <is>
          <t>O1</t>
        </is>
      </c>
      <c r="V11" s="57" t="inlineStr">
        <is>
          <t>O2</t>
        </is>
      </c>
      <c r="W11" s="57" t="inlineStr">
        <is>
          <t>O3</t>
        </is>
      </c>
      <c r="X11" s="57" t="inlineStr">
        <is>
          <t>STM1</t>
        </is>
      </c>
      <c r="Y11" s="57" t="inlineStr">
        <is>
          <t>A1</t>
        </is>
      </c>
      <c r="Z11" s="57" t="inlineStr">
        <is>
          <t>A2</t>
        </is>
      </c>
      <c r="AA11" s="57" t="inlineStr">
        <is>
          <t>STN1</t>
        </is>
      </c>
      <c r="AB11" s="57" t="inlineStr">
        <is>
          <t>N2</t>
        </is>
      </c>
      <c r="AC11" s="57" t="inlineStr">
        <is>
          <t>O1</t>
        </is>
      </c>
      <c r="AD11" s="57" t="inlineStr">
        <is>
          <t>O2</t>
        </is>
      </c>
      <c r="AE11" s="57" t="inlineStr">
        <is>
          <t>O3</t>
        </is>
      </c>
      <c r="AF11" s="57" t="inlineStr">
        <is>
          <t>M1</t>
        </is>
      </c>
      <c r="AG11" s="57" t="inlineStr">
        <is>
          <t>A1</t>
        </is>
      </c>
      <c r="AH11" s="57" t="inlineStr">
        <is>
          <t>A2</t>
        </is>
      </c>
      <c r="AI11" s="25" t="inlineStr">
        <is>
          <t>N1</t>
        </is>
      </c>
      <c r="AJ11" s="57" t="n"/>
      <c r="AL11" s="56">
        <f>COUNTIF($F11:$AJ11,"ST*")</f>
        <v/>
      </c>
      <c r="AM11" s="56">
        <f>COUNTIF($F11:$AJ11,"M*")</f>
        <v/>
      </c>
      <c r="AN11" s="56">
        <f>COUNTIF($F11:$AJ11,"A*")</f>
        <v/>
      </c>
      <c r="AO11" s="56">
        <f>COUNTIF($F11:$AJ11,"N*")</f>
        <v/>
      </c>
      <c r="AP11" s="56">
        <f>COUNTIF($F11:$AJ11,"O*")</f>
        <v/>
      </c>
    </row>
    <row r="12" ht="18.75" customHeight="1" s="6">
      <c r="B12" s="37" t="n">
        <v>8</v>
      </c>
      <c r="C12" s="92" t="inlineStr">
        <is>
          <t>Ghassan Al Tarsi - 82588</t>
        </is>
      </c>
      <c r="D12" s="134" t="n"/>
      <c r="F12" s="57" t="inlineStr">
        <is>
          <t>O1</t>
        </is>
      </c>
      <c r="G12" s="57" t="inlineStr">
        <is>
          <t>O2</t>
        </is>
      </c>
      <c r="H12" s="57" t="inlineStr">
        <is>
          <t>M1</t>
        </is>
      </c>
      <c r="I12" s="57" t="inlineStr">
        <is>
          <t>STA1</t>
        </is>
      </c>
      <c r="J12" s="57" t="inlineStr">
        <is>
          <t>N1</t>
        </is>
      </c>
      <c r="K12" s="57" t="inlineStr">
        <is>
          <t>N2</t>
        </is>
      </c>
      <c r="L12" s="57" t="inlineStr">
        <is>
          <t>O1</t>
        </is>
      </c>
      <c r="M12" s="57" t="inlineStr">
        <is>
          <t>O2</t>
        </is>
      </c>
      <c r="N12" s="57" t="inlineStr">
        <is>
          <t>O3</t>
        </is>
      </c>
      <c r="O12" s="57" t="inlineStr">
        <is>
          <t>STM1</t>
        </is>
      </c>
      <c r="P12" s="57" t="inlineStr">
        <is>
          <t>M2</t>
        </is>
      </c>
      <c r="Q12" s="57" t="inlineStr">
        <is>
          <t>A1</t>
        </is>
      </c>
      <c r="R12" s="57" t="inlineStr">
        <is>
          <t>A2</t>
        </is>
      </c>
      <c r="S12" s="57" t="inlineStr">
        <is>
          <t>N1</t>
        </is>
      </c>
      <c r="T12" s="57" t="inlineStr">
        <is>
          <t>O1</t>
        </is>
      </c>
      <c r="U12" s="57" t="inlineStr">
        <is>
          <t>O2</t>
        </is>
      </c>
      <c r="V12" s="57" t="inlineStr">
        <is>
          <t>O3</t>
        </is>
      </c>
      <c r="W12" s="57" t="inlineStr">
        <is>
          <t>STM1</t>
        </is>
      </c>
      <c r="X12" s="57" t="inlineStr">
        <is>
          <t>M2</t>
        </is>
      </c>
      <c r="Y12" s="57" t="inlineStr">
        <is>
          <t>A1</t>
        </is>
      </c>
      <c r="Z12" s="57" t="inlineStr">
        <is>
          <t>STN1</t>
        </is>
      </c>
      <c r="AA12" s="57" t="inlineStr">
        <is>
          <t>N2</t>
        </is>
      </c>
      <c r="AB12" s="57" t="inlineStr">
        <is>
          <t>O1</t>
        </is>
      </c>
      <c r="AC12" s="57" t="inlineStr">
        <is>
          <t>O2</t>
        </is>
      </c>
      <c r="AD12" s="57" t="inlineStr">
        <is>
          <t>O3</t>
        </is>
      </c>
      <c r="AE12" s="57" t="inlineStr">
        <is>
          <t>M1</t>
        </is>
      </c>
      <c r="AF12" s="57" t="inlineStr">
        <is>
          <t>A1</t>
        </is>
      </c>
      <c r="AG12" s="57" t="inlineStr">
        <is>
          <t>STA1</t>
        </is>
      </c>
      <c r="AH12" s="57" t="inlineStr">
        <is>
          <t>N1</t>
        </is>
      </c>
      <c r="AI12" s="25" t="inlineStr">
        <is>
          <t>N2</t>
        </is>
      </c>
      <c r="AJ12" s="57" t="n"/>
      <c r="AL12" s="56">
        <f>COUNTIF($F12:$AJ12,"ST*")</f>
        <v/>
      </c>
      <c r="AM12" s="56">
        <f>COUNTIF($F12:$AJ12,"M*")</f>
        <v/>
      </c>
      <c r="AN12" s="56">
        <f>COUNTIF($F12:$AJ12,"A*")</f>
        <v/>
      </c>
      <c r="AO12" s="56">
        <f>COUNTIF($F12:$AJ12,"N*")</f>
        <v/>
      </c>
      <c r="AP12" s="56">
        <f>COUNTIF($F12:$AJ12,"O*")</f>
        <v/>
      </c>
    </row>
    <row r="13" ht="18.75" customHeight="1" s="6">
      <c r="B13" s="37" t="n">
        <v>9</v>
      </c>
      <c r="C13" s="92" t="inlineStr">
        <is>
          <t>Mohamed Al Falahi - 8762</t>
        </is>
      </c>
      <c r="D13" s="134" t="n"/>
      <c r="F13" s="57" t="inlineStr">
        <is>
          <t>STM1</t>
        </is>
      </c>
      <c r="G13" s="57" t="inlineStr">
        <is>
          <t>M2</t>
        </is>
      </c>
      <c r="H13" s="57" t="inlineStr">
        <is>
          <t>A1</t>
        </is>
      </c>
      <c r="I13" s="57" t="inlineStr">
        <is>
          <t>STA2</t>
        </is>
      </c>
      <c r="J13" s="57" t="inlineStr">
        <is>
          <t>N1</t>
        </is>
      </c>
      <c r="K13" s="57" t="inlineStr">
        <is>
          <t>O1</t>
        </is>
      </c>
      <c r="L13" s="57" t="inlineStr">
        <is>
          <t>O2</t>
        </is>
      </c>
      <c r="M13" s="57" t="inlineStr">
        <is>
          <t>O3</t>
        </is>
      </c>
      <c r="N13" s="57" t="inlineStr">
        <is>
          <t>STM1</t>
        </is>
      </c>
      <c r="O13" s="57" t="inlineStr">
        <is>
          <t>M2</t>
        </is>
      </c>
      <c r="P13" s="57" t="inlineStr">
        <is>
          <t>A1</t>
        </is>
      </c>
      <c r="Q13" s="57" t="inlineStr">
        <is>
          <t>STA2</t>
        </is>
      </c>
      <c r="R13" s="57" t="inlineStr">
        <is>
          <t>N1</t>
        </is>
      </c>
      <c r="S13" s="57" t="inlineStr">
        <is>
          <t>O1</t>
        </is>
      </c>
      <c r="T13" s="57" t="inlineStr">
        <is>
          <t>O2</t>
        </is>
      </c>
      <c r="U13" s="57" t="inlineStr">
        <is>
          <t>O3</t>
        </is>
      </c>
      <c r="V13" s="57" t="inlineStr">
        <is>
          <t>M1</t>
        </is>
      </c>
      <c r="W13" s="57" t="inlineStr">
        <is>
          <t>M2</t>
        </is>
      </c>
      <c r="X13" s="57" t="inlineStr">
        <is>
          <t>A1</t>
        </is>
      </c>
      <c r="Y13" s="57" t="inlineStr">
        <is>
          <t>STN1</t>
        </is>
      </c>
      <c r="Z13" s="57" t="inlineStr">
        <is>
          <t>N2</t>
        </is>
      </c>
      <c r="AA13" s="57" t="inlineStr">
        <is>
          <t>O1</t>
        </is>
      </c>
      <c r="AB13" s="57" t="inlineStr">
        <is>
          <t>O2</t>
        </is>
      </c>
      <c r="AC13" s="57" t="inlineStr">
        <is>
          <t>O3</t>
        </is>
      </c>
      <c r="AD13" s="57" t="inlineStr">
        <is>
          <t>M1</t>
        </is>
      </c>
      <c r="AE13" s="57" t="inlineStr">
        <is>
          <t>M2</t>
        </is>
      </c>
      <c r="AF13" s="57" t="inlineStr">
        <is>
          <t>A1</t>
        </is>
      </c>
      <c r="AG13" s="57" t="inlineStr">
        <is>
          <t>A2</t>
        </is>
      </c>
      <c r="AH13" s="57" t="inlineStr">
        <is>
          <t>STN1</t>
        </is>
      </c>
      <c r="AI13" s="25" t="inlineStr">
        <is>
          <t>O1</t>
        </is>
      </c>
      <c r="AJ13" s="57" t="n"/>
      <c r="AL13" s="56">
        <f>COUNTIF($F13:$AJ13,"ST*")</f>
        <v/>
      </c>
      <c r="AM13" s="56">
        <f>COUNTIF($F13:$AJ13,"M*")</f>
        <v/>
      </c>
      <c r="AN13" s="56">
        <f>COUNTIF($F13:$AJ13,"A*")</f>
        <v/>
      </c>
      <c r="AO13" s="56">
        <f>COUNTIF($F13:$AJ13,"N*")</f>
        <v/>
      </c>
      <c r="AP13" s="56">
        <f>COUNTIF($F13:$AJ13,"O*")</f>
        <v/>
      </c>
    </row>
    <row r="14" ht="18.75" customHeight="1" s="6">
      <c r="B14" s="37" t="n">
        <v>10</v>
      </c>
      <c r="C14" s="92" t="inlineStr">
        <is>
          <t>Issa Al Douyani - 8647</t>
        </is>
      </c>
      <c r="D14" s="134" t="n"/>
      <c r="F14" s="57" t="inlineStr">
        <is>
          <t>M2</t>
        </is>
      </c>
      <c r="G14" s="57" t="inlineStr">
        <is>
          <t>O1</t>
        </is>
      </c>
      <c r="H14" s="57" t="inlineStr">
        <is>
          <t>A2</t>
        </is>
      </c>
      <c r="I14" s="57" t="inlineStr">
        <is>
          <t>N1</t>
        </is>
      </c>
      <c r="J14" s="57" t="inlineStr">
        <is>
          <t>O1</t>
        </is>
      </c>
      <c r="K14" s="57" t="inlineStr">
        <is>
          <t>O2</t>
        </is>
      </c>
      <c r="L14" s="57" t="inlineStr">
        <is>
          <t>O3</t>
        </is>
      </c>
      <c r="M14" s="57" t="inlineStr">
        <is>
          <t>M1</t>
        </is>
      </c>
      <c r="N14" s="57" t="inlineStr">
        <is>
          <t>STM2</t>
        </is>
      </c>
      <c r="O14" s="57" t="inlineStr">
        <is>
          <t>A1</t>
        </is>
      </c>
      <c r="P14" s="57" t="inlineStr">
        <is>
          <t>STA2</t>
        </is>
      </c>
      <c r="Q14" s="57" t="inlineStr">
        <is>
          <t>N1</t>
        </is>
      </c>
      <c r="R14" s="57" t="inlineStr">
        <is>
          <t>O1</t>
        </is>
      </c>
      <c r="S14" s="57" t="inlineStr">
        <is>
          <t>O2</t>
        </is>
      </c>
      <c r="T14" s="57" t="inlineStr">
        <is>
          <t>O3</t>
        </is>
      </c>
      <c r="U14" s="57" t="inlineStr">
        <is>
          <t>M1</t>
        </is>
      </c>
      <c r="V14" s="57" t="inlineStr">
        <is>
          <t>M2</t>
        </is>
      </c>
      <c r="W14" s="57" t="inlineStr">
        <is>
          <t>A1</t>
        </is>
      </c>
      <c r="X14" s="57" t="inlineStr">
        <is>
          <t>A2</t>
        </is>
      </c>
      <c r="Y14" s="57" t="inlineStr">
        <is>
          <t>N1</t>
        </is>
      </c>
      <c r="Z14" s="57" t="inlineStr">
        <is>
          <t>O1</t>
        </is>
      </c>
      <c r="AA14" s="57" t="inlineStr">
        <is>
          <t>O2</t>
        </is>
      </c>
      <c r="AB14" s="57" t="inlineStr">
        <is>
          <t>O3</t>
        </is>
      </c>
      <c r="AC14" s="57" t="inlineStr">
        <is>
          <t>M1</t>
        </is>
      </c>
      <c r="AD14" s="57" t="inlineStr">
        <is>
          <t>STM2</t>
        </is>
      </c>
      <c r="AE14" s="57" t="inlineStr">
        <is>
          <t>A1</t>
        </is>
      </c>
      <c r="AF14" s="57" t="inlineStr">
        <is>
          <t>TR</t>
        </is>
      </c>
      <c r="AG14" s="57" t="inlineStr">
        <is>
          <t>N1</t>
        </is>
      </c>
      <c r="AH14" s="57" t="inlineStr">
        <is>
          <t>O1</t>
        </is>
      </c>
      <c r="AI14" s="25" t="inlineStr">
        <is>
          <t>O2</t>
        </is>
      </c>
      <c r="AJ14" s="57" t="n"/>
      <c r="AL14" s="56">
        <f>COUNTIF($F14:$AJ14,"ST*")</f>
        <v/>
      </c>
      <c r="AM14" s="56">
        <f>COUNTIF($F14:$AJ14,"M*")</f>
        <v/>
      </c>
      <c r="AN14" s="56">
        <f>COUNTIF($F14:$AJ14,"A*")</f>
        <v/>
      </c>
      <c r="AO14" s="56">
        <f>COUNTIF($F14:$AJ14,"N*")</f>
        <v/>
      </c>
      <c r="AP14" s="56">
        <f>COUNTIF($F14:$AJ14,"O*")</f>
        <v/>
      </c>
    </row>
    <row r="15" ht="18.75" customHeight="1" s="6">
      <c r="B15" s="37" t="n">
        <v>11</v>
      </c>
      <c r="C15" s="92" t="inlineStr">
        <is>
          <t>Salim Sulieman - 8722</t>
        </is>
      </c>
      <c r="D15" s="134" t="n"/>
      <c r="F15" s="57" t="inlineStr">
        <is>
          <t>A1</t>
        </is>
      </c>
      <c r="G15" s="57" t="inlineStr">
        <is>
          <t>A2</t>
        </is>
      </c>
      <c r="H15" s="57" t="inlineStr">
        <is>
          <t>N1</t>
        </is>
      </c>
      <c r="I15" s="57" t="inlineStr">
        <is>
          <t>O1</t>
        </is>
      </c>
      <c r="J15" s="57" t="inlineStr">
        <is>
          <t>O2</t>
        </is>
      </c>
      <c r="K15" s="57" t="inlineStr">
        <is>
          <t>O3</t>
        </is>
      </c>
      <c r="L15" s="57" t="inlineStr">
        <is>
          <t>M1</t>
        </is>
      </c>
      <c r="M15" s="57" t="inlineStr">
        <is>
          <t>M2</t>
        </is>
      </c>
      <c r="N15" s="57" t="inlineStr">
        <is>
          <t>A1</t>
        </is>
      </c>
      <c r="O15" s="57" t="inlineStr">
        <is>
          <t>A2</t>
        </is>
      </c>
      <c r="P15" s="57" t="inlineStr">
        <is>
          <t>N1</t>
        </is>
      </c>
      <c r="Q15" s="57" t="inlineStr">
        <is>
          <t>O1</t>
        </is>
      </c>
      <c r="R15" s="57" t="inlineStr">
        <is>
          <t>O2</t>
        </is>
      </c>
      <c r="S15" s="57" t="inlineStr">
        <is>
          <t>O3</t>
        </is>
      </c>
      <c r="T15" s="57" t="inlineStr">
        <is>
          <t>M1</t>
        </is>
      </c>
      <c r="U15" s="57" t="inlineStr">
        <is>
          <t>M2</t>
        </is>
      </c>
      <c r="V15" s="57" t="inlineStr">
        <is>
          <t>A1</t>
        </is>
      </c>
      <c r="W15" s="57" t="inlineStr">
        <is>
          <t>A2</t>
        </is>
      </c>
      <c r="X15" s="57" t="inlineStr">
        <is>
          <t>N1</t>
        </is>
      </c>
      <c r="Y15" s="57" t="inlineStr">
        <is>
          <t>O1</t>
        </is>
      </c>
      <c r="Z15" s="57" t="inlineStr">
        <is>
          <t>O2</t>
        </is>
      </c>
      <c r="AA15" s="57" t="inlineStr">
        <is>
          <t>O3</t>
        </is>
      </c>
      <c r="AB15" s="57" t="inlineStr">
        <is>
          <t>M1</t>
        </is>
      </c>
      <c r="AC15" s="57" t="inlineStr">
        <is>
          <t>M2</t>
        </is>
      </c>
      <c r="AD15" s="57" t="inlineStr">
        <is>
          <t>A1</t>
        </is>
      </c>
      <c r="AE15" s="57" t="inlineStr">
        <is>
          <t>N1</t>
        </is>
      </c>
      <c r="AF15" s="57" t="inlineStr">
        <is>
          <t>TR</t>
        </is>
      </c>
      <c r="AG15" s="57" t="inlineStr">
        <is>
          <t>O1</t>
        </is>
      </c>
      <c r="AH15" s="57" t="inlineStr">
        <is>
          <t>O2</t>
        </is>
      </c>
      <c r="AI15" s="25" t="inlineStr">
        <is>
          <t>O3</t>
        </is>
      </c>
      <c r="AJ15" s="57" t="n"/>
      <c r="AL15" s="56">
        <f>COUNTIF($F15:$AJ15,"ST*")</f>
        <v/>
      </c>
      <c r="AM15" s="56">
        <f>COUNTIF($F15:$AJ15,"M*")</f>
        <v/>
      </c>
      <c r="AN15" s="56">
        <f>COUNTIF($F15:$AJ15,"A*")</f>
        <v/>
      </c>
      <c r="AO15" s="56">
        <f>COUNTIF($F15:$AJ15,"N*")</f>
        <v/>
      </c>
      <c r="AP15" s="56">
        <f>COUNTIF($F15:$AJ15,"O*")</f>
        <v/>
      </c>
    </row>
    <row r="16" ht="18.75" customHeight="1" s="6">
      <c r="B16" s="37" t="n">
        <v>12</v>
      </c>
      <c r="C16" s="92" t="inlineStr">
        <is>
          <t>Zakariya Al Balushi - 82429</t>
        </is>
      </c>
      <c r="D16" s="134" t="n"/>
      <c r="F16" s="57" t="inlineStr">
        <is>
          <t>A1</t>
        </is>
      </c>
      <c r="G16" s="57" t="inlineStr">
        <is>
          <t>N2</t>
        </is>
      </c>
      <c r="H16" s="57" t="inlineStr">
        <is>
          <t>O1</t>
        </is>
      </c>
      <c r="I16" s="57" t="inlineStr">
        <is>
          <t>O2</t>
        </is>
      </c>
      <c r="J16" s="57" t="inlineStr">
        <is>
          <t>O3</t>
        </is>
      </c>
      <c r="K16" s="57" t="inlineStr">
        <is>
          <t>M1</t>
        </is>
      </c>
      <c r="L16" s="57" t="inlineStr">
        <is>
          <t>M2</t>
        </is>
      </c>
      <c r="M16" s="57" t="inlineStr">
        <is>
          <t>A1</t>
        </is>
      </c>
      <c r="N16" s="57" t="inlineStr">
        <is>
          <t>A2</t>
        </is>
      </c>
      <c r="O16" s="57" t="inlineStr">
        <is>
          <t>N1</t>
        </is>
      </c>
      <c r="P16" s="57" t="inlineStr">
        <is>
          <t>O1</t>
        </is>
      </c>
      <c r="Q16" s="57" t="inlineStr">
        <is>
          <t>O2</t>
        </is>
      </c>
      <c r="R16" s="57" t="inlineStr">
        <is>
          <t>O3</t>
        </is>
      </c>
      <c r="S16" s="57" t="inlineStr">
        <is>
          <t>M1</t>
        </is>
      </c>
      <c r="T16" s="57" t="inlineStr">
        <is>
          <t>A1</t>
        </is>
      </c>
      <c r="U16" s="57" t="inlineStr">
        <is>
          <t>A2</t>
        </is>
      </c>
      <c r="V16" s="57" t="inlineStr">
        <is>
          <t>N1</t>
        </is>
      </c>
      <c r="W16" s="57" t="inlineStr">
        <is>
          <t>N2</t>
        </is>
      </c>
      <c r="X16" s="57" t="inlineStr">
        <is>
          <t>O1</t>
        </is>
      </c>
      <c r="Y16" s="57" t="inlineStr">
        <is>
          <t>O2</t>
        </is>
      </c>
      <c r="Z16" s="57" t="inlineStr">
        <is>
          <t>O3</t>
        </is>
      </c>
      <c r="AA16" s="57" t="inlineStr">
        <is>
          <t>M1</t>
        </is>
      </c>
      <c r="AB16" s="57" t="inlineStr">
        <is>
          <t>M2</t>
        </is>
      </c>
      <c r="AC16" s="57" t="inlineStr">
        <is>
          <t>A1</t>
        </is>
      </c>
      <c r="AD16" s="57" t="inlineStr">
        <is>
          <t>TR</t>
        </is>
      </c>
      <c r="AE16" s="57" t="inlineStr">
        <is>
          <t>N2</t>
        </is>
      </c>
      <c r="AF16" s="57" t="inlineStr">
        <is>
          <t>O1</t>
        </is>
      </c>
      <c r="AG16" s="57" t="inlineStr">
        <is>
          <t>O2</t>
        </is>
      </c>
      <c r="AH16" s="57" t="inlineStr">
        <is>
          <t>O3</t>
        </is>
      </c>
      <c r="AI16" s="25" t="inlineStr">
        <is>
          <t>M1</t>
        </is>
      </c>
      <c r="AJ16" s="57" t="n"/>
      <c r="AL16" s="56">
        <f>COUNTIF($F16:$AJ16,"ST*")</f>
        <v/>
      </c>
      <c r="AM16" s="56">
        <f>COUNTIF($F16:$AJ16,"M*")</f>
        <v/>
      </c>
      <c r="AN16" s="56">
        <f>COUNTIF($F16:$AJ16,"A*")</f>
        <v/>
      </c>
      <c r="AO16" s="56">
        <f>COUNTIF($F16:$AJ16,"N*")</f>
        <v/>
      </c>
      <c r="AP16" s="56">
        <f>COUNTIF($F16:$AJ16,"O*")</f>
        <v/>
      </c>
    </row>
    <row r="17" ht="18.75" customHeight="1" s="6">
      <c r="B17" s="37" t="n">
        <v>13</v>
      </c>
      <c r="C17" s="92" t="inlineStr">
        <is>
          <t>Salim Al Harassi - 8542</t>
        </is>
      </c>
      <c r="D17" s="134" t="n"/>
      <c r="F17" s="57" t="inlineStr">
        <is>
          <t>N2</t>
        </is>
      </c>
      <c r="G17" s="57" t="inlineStr">
        <is>
          <t>O1</t>
        </is>
      </c>
      <c r="H17" s="57" t="inlineStr">
        <is>
          <t>O2</t>
        </is>
      </c>
      <c r="I17" s="57" t="inlineStr">
        <is>
          <t>O3</t>
        </is>
      </c>
      <c r="J17" s="57" t="inlineStr">
        <is>
          <t>M1</t>
        </is>
      </c>
      <c r="K17" s="57" t="inlineStr">
        <is>
          <t>M2</t>
        </is>
      </c>
      <c r="L17" s="57" t="inlineStr">
        <is>
          <t>A1</t>
        </is>
      </c>
      <c r="M17" s="57" t="inlineStr">
        <is>
          <t>STN1</t>
        </is>
      </c>
      <c r="N17" s="57" t="inlineStr">
        <is>
          <t>N2</t>
        </is>
      </c>
      <c r="O17" s="57" t="inlineStr">
        <is>
          <t>O1</t>
        </is>
      </c>
      <c r="P17" s="57" t="inlineStr">
        <is>
          <t>O2</t>
        </is>
      </c>
      <c r="Q17" s="57" t="inlineStr">
        <is>
          <t>O3</t>
        </is>
      </c>
      <c r="R17" s="57" t="inlineStr">
        <is>
          <t>M1</t>
        </is>
      </c>
      <c r="S17" s="57" t="inlineStr">
        <is>
          <t>A1</t>
        </is>
      </c>
      <c r="T17" s="57" t="inlineStr">
        <is>
          <t>A2</t>
        </is>
      </c>
      <c r="U17" s="57" t="inlineStr">
        <is>
          <t>N1</t>
        </is>
      </c>
      <c r="V17" s="57" t="inlineStr">
        <is>
          <t>N2</t>
        </is>
      </c>
      <c r="W17" s="57" t="inlineStr">
        <is>
          <t>O1</t>
        </is>
      </c>
      <c r="X17" s="57" t="inlineStr">
        <is>
          <t>O2</t>
        </is>
      </c>
      <c r="Y17" s="57" t="inlineStr">
        <is>
          <t>O3</t>
        </is>
      </c>
      <c r="Z17" s="57" t="inlineStr">
        <is>
          <t>M1</t>
        </is>
      </c>
      <c r="AA17" s="57" t="inlineStr">
        <is>
          <t>A1</t>
        </is>
      </c>
      <c r="AB17" s="57" t="inlineStr">
        <is>
          <t>A2</t>
        </is>
      </c>
      <c r="AC17" s="57" t="inlineStr">
        <is>
          <t>N1</t>
        </is>
      </c>
      <c r="AD17" s="57" t="inlineStr">
        <is>
          <t>N2</t>
        </is>
      </c>
      <c r="AE17" s="57" t="inlineStr">
        <is>
          <t>O1</t>
        </is>
      </c>
      <c r="AF17" s="57" t="inlineStr">
        <is>
          <t>O2</t>
        </is>
      </c>
      <c r="AG17" s="57" t="inlineStr">
        <is>
          <t>O3</t>
        </is>
      </c>
      <c r="AH17" s="57" t="inlineStr">
        <is>
          <t>M1</t>
        </is>
      </c>
      <c r="AI17" s="25" t="inlineStr">
        <is>
          <t>A1</t>
        </is>
      </c>
      <c r="AJ17" s="57" t="n"/>
      <c r="AL17" s="56">
        <f>COUNTIF($F17:$AJ17,"ST*")</f>
        <v/>
      </c>
      <c r="AM17" s="56">
        <f>COUNTIF($F17:$AJ17,"M*")</f>
        <v/>
      </c>
      <c r="AN17" s="56">
        <f>COUNTIF($F17:$AJ17,"A*")</f>
        <v/>
      </c>
      <c r="AO17" s="56">
        <f>COUNTIF($F17:$AJ17,"N*")</f>
        <v/>
      </c>
      <c r="AP17" s="56">
        <f>COUNTIF($F17:$AJ17,"O*")</f>
        <v/>
      </c>
    </row>
    <row r="18" ht="18.75" customHeight="1" s="6">
      <c r="B18" s="37" t="n">
        <v>14</v>
      </c>
      <c r="C18" s="92" t="inlineStr">
        <is>
          <t>Badar Al Fulaiti - 82468</t>
        </is>
      </c>
      <c r="D18" s="134" t="n"/>
      <c r="F18" s="57" t="inlineStr">
        <is>
          <t>O1</t>
        </is>
      </c>
      <c r="G18" s="57" t="inlineStr">
        <is>
          <t>O2</t>
        </is>
      </c>
      <c r="H18" s="57" t="inlineStr">
        <is>
          <t>O3</t>
        </is>
      </c>
      <c r="I18" s="57" t="inlineStr">
        <is>
          <t>M1</t>
        </is>
      </c>
      <c r="J18" s="57" t="inlineStr">
        <is>
          <t>M2</t>
        </is>
      </c>
      <c r="K18" s="57" t="inlineStr">
        <is>
          <t>A1</t>
        </is>
      </c>
      <c r="L18" s="57" t="inlineStr">
        <is>
          <t>STN1</t>
        </is>
      </c>
      <c r="M18" s="57" t="inlineStr">
        <is>
          <t>N2</t>
        </is>
      </c>
      <c r="N18" s="57" t="inlineStr">
        <is>
          <t>O1</t>
        </is>
      </c>
      <c r="O18" s="57" t="inlineStr">
        <is>
          <t>O2</t>
        </is>
      </c>
      <c r="P18" s="57" t="inlineStr">
        <is>
          <t>O3</t>
        </is>
      </c>
      <c r="Q18" s="57" t="inlineStr">
        <is>
          <t>M1</t>
        </is>
      </c>
      <c r="R18" s="57" t="inlineStr">
        <is>
          <t>STA1</t>
        </is>
      </c>
      <c r="S18" s="57" t="inlineStr">
        <is>
          <t>A2</t>
        </is>
      </c>
      <c r="T18" s="57" t="inlineStr">
        <is>
          <t>STN1</t>
        </is>
      </c>
      <c r="U18" s="57" t="inlineStr">
        <is>
          <t>N2</t>
        </is>
      </c>
      <c r="V18" s="57" t="inlineStr">
        <is>
          <t>O1</t>
        </is>
      </c>
      <c r="W18" s="57" t="inlineStr">
        <is>
          <t>O2</t>
        </is>
      </c>
      <c r="X18" s="57" t="inlineStr">
        <is>
          <t>O3</t>
        </is>
      </c>
      <c r="Y18" s="57" t="inlineStr">
        <is>
          <t>M1</t>
        </is>
      </c>
      <c r="Z18" s="57" t="inlineStr">
        <is>
          <t>A1</t>
        </is>
      </c>
      <c r="AA18" s="57" t="inlineStr">
        <is>
          <t>A2</t>
        </is>
      </c>
      <c r="AB18" s="57" t="inlineStr">
        <is>
          <t>N1</t>
        </is>
      </c>
      <c r="AC18" s="57" t="inlineStr">
        <is>
          <t>N2</t>
        </is>
      </c>
      <c r="AD18" s="57" t="inlineStr">
        <is>
          <t>O1</t>
        </is>
      </c>
      <c r="AE18" s="57" t="inlineStr">
        <is>
          <t>O2</t>
        </is>
      </c>
      <c r="AF18" s="57" t="inlineStr">
        <is>
          <t>O3</t>
        </is>
      </c>
      <c r="AG18" s="57" t="inlineStr">
        <is>
          <t>M1</t>
        </is>
      </c>
      <c r="AH18" s="57" t="inlineStr">
        <is>
          <t>M2</t>
        </is>
      </c>
      <c r="AI18" s="25" t="inlineStr">
        <is>
          <t>A1</t>
        </is>
      </c>
      <c r="AJ18" s="57" t="n"/>
      <c r="AL18" s="56">
        <f>COUNTIF($F18:$AJ18,"ST*")</f>
        <v/>
      </c>
      <c r="AM18" s="56">
        <f>COUNTIF($F18:$AJ18,"M*")</f>
        <v/>
      </c>
      <c r="AN18" s="56">
        <f>COUNTIF($F18:$AJ18,"A*")</f>
        <v/>
      </c>
      <c r="AO18" s="56">
        <f>COUNTIF($F18:$AJ18,"N*")</f>
        <v/>
      </c>
      <c r="AP18" s="56">
        <f>COUNTIF($F18:$AJ18,"O*")</f>
        <v/>
      </c>
    </row>
    <row r="19" ht="18.75" customHeight="1" s="6">
      <c r="B19" s="37" t="n">
        <v>15</v>
      </c>
      <c r="C19" s="92" t="inlineStr">
        <is>
          <t>Muadh Al Qasimi - 82534</t>
        </is>
      </c>
      <c r="D19" s="134" t="n"/>
      <c r="F19" s="57" t="inlineStr">
        <is>
          <t>O2</t>
        </is>
      </c>
      <c r="G19" s="57" t="inlineStr">
        <is>
          <t>O3</t>
        </is>
      </c>
      <c r="H19" s="57" t="inlineStr">
        <is>
          <t>M1</t>
        </is>
      </c>
      <c r="I19" s="57" t="inlineStr">
        <is>
          <t>A1</t>
        </is>
      </c>
      <c r="J19" s="57" t="inlineStr">
        <is>
          <t>A2</t>
        </is>
      </c>
      <c r="K19" s="57" t="inlineStr">
        <is>
          <t>STN1</t>
        </is>
      </c>
      <c r="L19" s="57" t="inlineStr">
        <is>
          <t>N2</t>
        </is>
      </c>
      <c r="M19" s="57" t="inlineStr">
        <is>
          <t>O1</t>
        </is>
      </c>
      <c r="N19" s="57" t="inlineStr">
        <is>
          <t>O2</t>
        </is>
      </c>
      <c r="O19" s="57" t="inlineStr">
        <is>
          <t>O3</t>
        </is>
      </c>
      <c r="P19" s="57" t="inlineStr">
        <is>
          <t>M1</t>
        </is>
      </c>
      <c r="Q19" s="57" t="inlineStr">
        <is>
          <t>M2</t>
        </is>
      </c>
      <c r="R19" s="57" t="inlineStr">
        <is>
          <t>A1</t>
        </is>
      </c>
      <c r="S19" s="57" t="inlineStr">
        <is>
          <t>STN1</t>
        </is>
      </c>
      <c r="T19" s="57" t="inlineStr">
        <is>
          <t>N2</t>
        </is>
      </c>
      <c r="U19" s="57" t="inlineStr">
        <is>
          <t>O1</t>
        </is>
      </c>
      <c r="V19" s="57" t="inlineStr">
        <is>
          <t>O2</t>
        </is>
      </c>
      <c r="W19" s="57" t="inlineStr">
        <is>
          <t>O3</t>
        </is>
      </c>
      <c r="X19" s="57" t="inlineStr">
        <is>
          <t>M1</t>
        </is>
      </c>
      <c r="Y19" s="57" t="inlineStr">
        <is>
          <t>M2</t>
        </is>
      </c>
      <c r="Z19" s="57" t="inlineStr">
        <is>
          <t>A1</t>
        </is>
      </c>
      <c r="AA19" s="57" t="inlineStr">
        <is>
          <t>N1</t>
        </is>
      </c>
      <c r="AB19" s="57" t="inlineStr">
        <is>
          <t>N2</t>
        </is>
      </c>
      <c r="AC19" s="57" t="inlineStr">
        <is>
          <t>O1</t>
        </is>
      </c>
      <c r="AD19" s="57" t="inlineStr">
        <is>
          <t>O2</t>
        </is>
      </c>
      <c r="AE19" s="57" t="inlineStr">
        <is>
          <t>O3</t>
        </is>
      </c>
      <c r="AF19" s="57" t="inlineStr">
        <is>
          <t>M1</t>
        </is>
      </c>
      <c r="AG19" s="57" t="inlineStr">
        <is>
          <t>M2</t>
        </is>
      </c>
      <c r="AH19" s="57" t="inlineStr">
        <is>
          <t>A1</t>
        </is>
      </c>
      <c r="AI19" s="25" t="inlineStr">
        <is>
          <t>A2</t>
        </is>
      </c>
      <c r="AJ19" s="57" t="n"/>
      <c r="AL19" s="56">
        <f>COUNTIF($F19:$AJ19,"ST*")</f>
        <v/>
      </c>
      <c r="AM19" s="56">
        <f>COUNTIF($F19:$AJ19,"M*")</f>
        <v/>
      </c>
      <c r="AN19" s="56">
        <f>COUNTIF($F19:$AJ19,"A*")</f>
        <v/>
      </c>
      <c r="AO19" s="56">
        <f>COUNTIF($F19:$AJ19,"N*")</f>
        <v/>
      </c>
      <c r="AP19" s="56">
        <f>COUNTIF($F19:$AJ19,"O*")</f>
        <v/>
      </c>
    </row>
    <row r="20" ht="18.75" customHeight="1" s="6">
      <c r="B20" s="37" t="n">
        <v>16</v>
      </c>
      <c r="C20" s="92" t="inlineStr">
        <is>
          <t>Faisal Al Balushi - 82656</t>
        </is>
      </c>
      <c r="D20" s="134" t="n"/>
      <c r="F20" s="57" t="inlineStr">
        <is>
          <t>O1</t>
        </is>
      </c>
      <c r="G20" s="57" t="inlineStr">
        <is>
          <t>O2</t>
        </is>
      </c>
      <c r="H20" s="57" t="inlineStr">
        <is>
          <t>TR</t>
        </is>
      </c>
      <c r="I20" s="57" t="inlineStr">
        <is>
          <t>A1</t>
        </is>
      </c>
      <c r="J20" s="57" t="inlineStr">
        <is>
          <t>STN1</t>
        </is>
      </c>
      <c r="K20" s="57" t="inlineStr">
        <is>
          <t>N2</t>
        </is>
      </c>
      <c r="L20" s="57" t="inlineStr">
        <is>
          <t>O1</t>
        </is>
      </c>
      <c r="M20" s="57" t="inlineStr">
        <is>
          <t>O2</t>
        </is>
      </c>
      <c r="N20" s="57" t="inlineStr">
        <is>
          <t>O3</t>
        </is>
      </c>
      <c r="O20" s="57" t="inlineStr">
        <is>
          <t>STM1</t>
        </is>
      </c>
      <c r="P20" s="57" t="inlineStr">
        <is>
          <t>M2</t>
        </is>
      </c>
      <c r="Q20" s="57" t="inlineStr">
        <is>
          <t>STA1</t>
        </is>
      </c>
      <c r="R20" s="57" t="inlineStr">
        <is>
          <t>A2</t>
        </is>
      </c>
      <c r="S20" s="57" t="inlineStr">
        <is>
          <t>N1</t>
        </is>
      </c>
      <c r="T20" s="57" t="inlineStr">
        <is>
          <t>O1</t>
        </is>
      </c>
      <c r="U20" s="57" t="inlineStr">
        <is>
          <t>O2</t>
        </is>
      </c>
      <c r="V20" s="57" t="inlineStr">
        <is>
          <t>O3</t>
        </is>
      </c>
      <c r="W20" s="57" t="inlineStr">
        <is>
          <t>STM1</t>
        </is>
      </c>
      <c r="X20" s="57" t="inlineStr">
        <is>
          <t>M2</t>
        </is>
      </c>
      <c r="Y20" s="57" t="inlineStr">
        <is>
          <t>STA1</t>
        </is>
      </c>
      <c r="Z20" s="57" t="inlineStr">
        <is>
          <t>N1</t>
        </is>
      </c>
      <c r="AA20" s="57" t="inlineStr">
        <is>
          <t>N2</t>
        </is>
      </c>
      <c r="AB20" s="57" t="inlineStr">
        <is>
          <t>O1</t>
        </is>
      </c>
      <c r="AC20" s="57" t="inlineStr">
        <is>
          <t>O2</t>
        </is>
      </c>
      <c r="AD20" s="57" t="inlineStr">
        <is>
          <t>O3</t>
        </is>
      </c>
      <c r="AE20" s="57" t="inlineStr">
        <is>
          <t>M1</t>
        </is>
      </c>
      <c r="AF20" s="57" t="inlineStr">
        <is>
          <t>M2</t>
        </is>
      </c>
      <c r="AG20" s="57" t="inlineStr">
        <is>
          <t>A1</t>
        </is>
      </c>
      <c r="AH20" s="57" t="inlineStr">
        <is>
          <t>STN1</t>
        </is>
      </c>
      <c r="AI20" s="25" t="inlineStr">
        <is>
          <t>N2</t>
        </is>
      </c>
      <c r="AJ20" s="57" t="n"/>
      <c r="AL20" s="56">
        <f>COUNTIF($F20:$AJ20,"ST*")</f>
        <v/>
      </c>
      <c r="AM20" s="56">
        <f>COUNTIF($F20:$AJ20,"M*")</f>
        <v/>
      </c>
      <c r="AN20" s="56">
        <f>COUNTIF($F20:$AJ20,"A*")</f>
        <v/>
      </c>
      <c r="AO20" s="56">
        <f>COUNTIF($F20:$AJ20,"N*")</f>
        <v/>
      </c>
      <c r="AP20" s="56">
        <f>COUNTIF($F20:$AJ20,"O*")</f>
        <v/>
      </c>
    </row>
    <row r="21" ht="18.75" customHeight="1" s="6">
      <c r="B21" s="37" t="n">
        <v>17</v>
      </c>
      <c r="C21" s="92" t="inlineStr">
        <is>
          <t>Said Al Fahkri - 8744</t>
        </is>
      </c>
      <c r="D21" s="134" t="n"/>
      <c r="F21" s="57" t="inlineStr">
        <is>
          <t>M1</t>
        </is>
      </c>
      <c r="G21" s="57" t="inlineStr">
        <is>
          <t>M2</t>
        </is>
      </c>
      <c r="H21" s="57" t="inlineStr">
        <is>
          <t>A1</t>
        </is>
      </c>
      <c r="I21" s="57" t="inlineStr">
        <is>
          <t>A2</t>
        </is>
      </c>
      <c r="J21" s="57" t="inlineStr">
        <is>
          <t>STN1</t>
        </is>
      </c>
      <c r="K21" s="57" t="inlineStr">
        <is>
          <t>O1</t>
        </is>
      </c>
      <c r="L21" s="57" t="inlineStr">
        <is>
          <t>O2</t>
        </is>
      </c>
      <c r="M21" s="57" t="inlineStr">
        <is>
          <t>O3</t>
        </is>
      </c>
      <c r="N21" s="57" t="inlineStr">
        <is>
          <t>M1</t>
        </is>
      </c>
      <c r="O21" s="57" t="inlineStr">
        <is>
          <t>M2</t>
        </is>
      </c>
      <c r="P21" s="57" t="inlineStr">
        <is>
          <t>A1</t>
        </is>
      </c>
      <c r="Q21" s="57" t="inlineStr">
        <is>
          <t>A2</t>
        </is>
      </c>
      <c r="R21" s="57" t="inlineStr">
        <is>
          <t>STN1</t>
        </is>
      </c>
      <c r="S21" s="57" t="inlineStr">
        <is>
          <t>O1</t>
        </is>
      </c>
      <c r="T21" s="57" t="inlineStr">
        <is>
          <t>O2</t>
        </is>
      </c>
      <c r="U21" s="57" t="inlineStr">
        <is>
          <t>O3</t>
        </is>
      </c>
      <c r="V21" s="57" t="inlineStr">
        <is>
          <t>M1</t>
        </is>
      </c>
      <c r="W21" s="57" t="inlineStr">
        <is>
          <t>M2</t>
        </is>
      </c>
      <c r="X21" s="57" t="inlineStr">
        <is>
          <t>STA1</t>
        </is>
      </c>
      <c r="Y21" s="57" t="inlineStr">
        <is>
          <t>N1</t>
        </is>
      </c>
      <c r="Z21" s="57" t="inlineStr">
        <is>
          <t>N2</t>
        </is>
      </c>
      <c r="AA21" s="57" t="inlineStr">
        <is>
          <t>O1</t>
        </is>
      </c>
      <c r="AB21" s="57" t="inlineStr">
        <is>
          <t>O2</t>
        </is>
      </c>
      <c r="AC21" s="57" t="inlineStr">
        <is>
          <t>O3</t>
        </is>
      </c>
      <c r="AD21" s="57" t="inlineStr">
        <is>
          <t>M1</t>
        </is>
      </c>
      <c r="AE21" s="57" t="inlineStr">
        <is>
          <t>STM2</t>
        </is>
      </c>
      <c r="AF21" s="57" t="inlineStr">
        <is>
          <t>A1</t>
        </is>
      </c>
      <c r="AG21" s="57" t="inlineStr">
        <is>
          <t>STA2</t>
        </is>
      </c>
      <c r="AH21" s="57" t="inlineStr">
        <is>
          <t>N1</t>
        </is>
      </c>
      <c r="AI21" s="25" t="inlineStr">
        <is>
          <t>O1</t>
        </is>
      </c>
      <c r="AJ21" s="57" t="n"/>
      <c r="AL21" s="56">
        <f>COUNTIF($F21:$AJ21,"ST*")</f>
        <v/>
      </c>
      <c r="AM21" s="56">
        <f>COUNTIF($F21:$AJ21,"M*")</f>
        <v/>
      </c>
      <c r="AN21" s="56">
        <f>COUNTIF($F21:$AJ21,"A*")</f>
        <v/>
      </c>
      <c r="AO21" s="56">
        <f>COUNTIF($F21:$AJ21,"N*")</f>
        <v/>
      </c>
      <c r="AP21" s="56">
        <f>COUNTIF($F21:$AJ21,"O*")</f>
        <v/>
      </c>
    </row>
    <row r="22" ht="18.75" customHeight="1" s="6">
      <c r="B22" s="37" t="n">
        <v>18</v>
      </c>
      <c r="C22" s="100" t="inlineStr">
        <is>
          <t>Jamal Al Hadi - 82565</t>
        </is>
      </c>
      <c r="D22" s="101" t="n"/>
      <c r="F22" s="57" t="inlineStr">
        <is>
          <t>O2</t>
        </is>
      </c>
      <c r="G22" s="57" t="inlineStr">
        <is>
          <t>M1</t>
        </is>
      </c>
      <c r="H22" s="57" t="inlineStr">
        <is>
          <t>M2</t>
        </is>
      </c>
      <c r="I22" s="57" t="inlineStr">
        <is>
          <t>A1</t>
        </is>
      </c>
      <c r="J22" s="57" t="inlineStr">
        <is>
          <t>A2</t>
        </is>
      </c>
      <c r="K22" s="57" t="inlineStr">
        <is>
          <t>A3</t>
        </is>
      </c>
      <c r="L22" s="57" t="inlineStr">
        <is>
          <t>O1</t>
        </is>
      </c>
      <c r="M22" s="57" t="inlineStr">
        <is>
          <t>O2</t>
        </is>
      </c>
      <c r="N22" s="57" t="inlineStr">
        <is>
          <t>M1</t>
        </is>
      </c>
      <c r="O22" s="57" t="inlineStr">
        <is>
          <t>M2</t>
        </is>
      </c>
      <c r="P22" s="57" t="inlineStr">
        <is>
          <t>A1</t>
        </is>
      </c>
      <c r="Q22" s="57" t="inlineStr">
        <is>
          <t>A2</t>
        </is>
      </c>
      <c r="R22" s="57" t="inlineStr">
        <is>
          <t>A3</t>
        </is>
      </c>
      <c r="S22" s="57" t="inlineStr">
        <is>
          <t>O1</t>
        </is>
      </c>
      <c r="T22" s="57" t="inlineStr">
        <is>
          <t>O2</t>
        </is>
      </c>
      <c r="U22" s="57" t="inlineStr">
        <is>
          <t>M1</t>
        </is>
      </c>
      <c r="V22" s="57" t="inlineStr">
        <is>
          <t>M2</t>
        </is>
      </c>
      <c r="W22" s="57" t="inlineStr">
        <is>
          <t>A1</t>
        </is>
      </c>
      <c r="X22" s="57" t="inlineStr">
        <is>
          <t>A2</t>
        </is>
      </c>
      <c r="Y22" s="57" t="inlineStr">
        <is>
          <t>A3</t>
        </is>
      </c>
      <c r="Z22" s="57" t="inlineStr">
        <is>
          <t>O1</t>
        </is>
      </c>
      <c r="AA22" s="57" t="inlineStr">
        <is>
          <t>O2</t>
        </is>
      </c>
      <c r="AB22" s="57" t="inlineStr">
        <is>
          <t>M1</t>
        </is>
      </c>
      <c r="AC22" s="57" t="inlineStr">
        <is>
          <t>M2</t>
        </is>
      </c>
      <c r="AD22" s="57" t="inlineStr">
        <is>
          <t>A1</t>
        </is>
      </c>
      <c r="AE22" s="57" t="inlineStr">
        <is>
          <t>A2</t>
        </is>
      </c>
      <c r="AF22" s="57" t="inlineStr">
        <is>
          <t>A3</t>
        </is>
      </c>
      <c r="AG22" s="57" t="inlineStr">
        <is>
          <t>O1</t>
        </is>
      </c>
      <c r="AH22" s="57" t="inlineStr">
        <is>
          <t>O2</t>
        </is>
      </c>
      <c r="AI22" s="25" t="inlineStr">
        <is>
          <t>M1</t>
        </is>
      </c>
      <c r="AJ22" s="57" t="n"/>
      <c r="AL22" s="56">
        <f>COUNTIF($F22:$AJ22,"ST*")</f>
        <v/>
      </c>
      <c r="AM22" s="56">
        <f>COUNTIF($F22:$AJ22,"M*")</f>
        <v/>
      </c>
      <c r="AN22" s="56">
        <f>COUNTIF($F22:$AJ22,"A*")</f>
        <v/>
      </c>
      <c r="AO22" s="56">
        <f>COUNTIF($F22:$AJ22,"N*")</f>
        <v/>
      </c>
      <c r="AP22" s="56">
        <f>COUNTIF($F22:$AJ22,"O*")</f>
        <v/>
      </c>
    </row>
    <row r="23" ht="18.75" customHeight="1" s="6">
      <c r="B23" s="37" t="n">
        <v>19</v>
      </c>
      <c r="C23" s="92" t="inlineStr">
        <is>
          <t>Ahmed Al Sabii - 82653</t>
        </is>
      </c>
      <c r="D23" s="134" t="n"/>
      <c r="F23" s="57" t="inlineStr">
        <is>
          <t>O2</t>
        </is>
      </c>
      <c r="G23" s="57" t="inlineStr">
        <is>
          <t>A1</t>
        </is>
      </c>
      <c r="H23" s="57" t="inlineStr">
        <is>
          <t>A2</t>
        </is>
      </c>
      <c r="I23" s="57" t="inlineStr">
        <is>
          <t>M1</t>
        </is>
      </c>
      <c r="J23" s="57" t="inlineStr">
        <is>
          <t>M2</t>
        </is>
      </c>
      <c r="K23" s="57" t="inlineStr">
        <is>
          <t>M3</t>
        </is>
      </c>
      <c r="L23" s="57" t="inlineStr">
        <is>
          <t>O1</t>
        </is>
      </c>
      <c r="M23" s="57" t="inlineStr">
        <is>
          <t>O2</t>
        </is>
      </c>
      <c r="N23" s="57" t="inlineStr">
        <is>
          <t>A1</t>
        </is>
      </c>
      <c r="O23" s="57" t="inlineStr">
        <is>
          <t>A2</t>
        </is>
      </c>
      <c r="P23" s="57" t="inlineStr">
        <is>
          <t>M1</t>
        </is>
      </c>
      <c r="Q23" s="57" t="inlineStr">
        <is>
          <t>M2</t>
        </is>
      </c>
      <c r="R23" s="57" t="inlineStr">
        <is>
          <t>M3</t>
        </is>
      </c>
      <c r="S23" s="57" t="inlineStr">
        <is>
          <t>O1</t>
        </is>
      </c>
      <c r="T23" s="57" t="inlineStr">
        <is>
          <t>O2</t>
        </is>
      </c>
      <c r="U23" s="57" t="inlineStr">
        <is>
          <t>A1</t>
        </is>
      </c>
      <c r="V23" s="57" t="inlineStr">
        <is>
          <t>A2</t>
        </is>
      </c>
      <c r="W23" s="57" t="inlineStr">
        <is>
          <t>M1</t>
        </is>
      </c>
      <c r="X23" s="57" t="inlineStr">
        <is>
          <t>M2</t>
        </is>
      </c>
      <c r="Y23" s="57" t="inlineStr">
        <is>
          <t>M3</t>
        </is>
      </c>
      <c r="Z23" s="57" t="inlineStr">
        <is>
          <t>O1</t>
        </is>
      </c>
      <c r="AA23" s="57" t="inlineStr">
        <is>
          <t>O2</t>
        </is>
      </c>
      <c r="AB23" s="57" t="inlineStr">
        <is>
          <t>A1</t>
        </is>
      </c>
      <c r="AC23" s="57" t="inlineStr">
        <is>
          <t>A2</t>
        </is>
      </c>
      <c r="AD23" s="57" t="inlineStr">
        <is>
          <t>M1</t>
        </is>
      </c>
      <c r="AE23" s="57" t="inlineStr">
        <is>
          <t>M2</t>
        </is>
      </c>
      <c r="AF23" s="57" t="inlineStr">
        <is>
          <t>M3</t>
        </is>
      </c>
      <c r="AG23" s="57" t="inlineStr">
        <is>
          <t>O1</t>
        </is>
      </c>
      <c r="AH23" s="57" t="inlineStr">
        <is>
          <t>O2</t>
        </is>
      </c>
      <c r="AI23" s="25" t="inlineStr">
        <is>
          <t>A1</t>
        </is>
      </c>
      <c r="AJ23" s="57" t="n"/>
      <c r="AL23" s="56">
        <f>COUNTIF($F23:$AJ23,"ST*")</f>
        <v/>
      </c>
      <c r="AM23" s="56">
        <f>COUNTIF($F23:$AJ23,"M*")</f>
        <v/>
      </c>
      <c r="AN23" s="56">
        <f>COUNTIF($F23:$AJ23,"A*")</f>
        <v/>
      </c>
      <c r="AO23" s="56">
        <f>COUNTIF($F23:$AJ23,"N*")</f>
        <v/>
      </c>
      <c r="AP23" s="56">
        <f>COUNTIF($F23:$AJ23,"O*")</f>
        <v/>
      </c>
    </row>
    <row r="24">
      <c r="F24" s="20" t="inlineStr">
        <is>
          <t xml:space="preserve"> </t>
        </is>
      </c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  <c r="AE24" s="20" t="n"/>
      <c r="AF24" s="20" t="n"/>
      <c r="AG24" s="20" t="n"/>
      <c r="AH24" s="20" t="n"/>
      <c r="AI24" s="20" t="n"/>
    </row>
    <row r="25" ht="18.75" customHeight="1" s="6">
      <c r="C25" s="90" t="inlineStr">
        <is>
          <t xml:space="preserve">Morning Shift </t>
        </is>
      </c>
      <c r="D25" s="134" t="n"/>
      <c r="E25" s="36" t="n"/>
      <c r="F25" s="37">
        <f>COUNTIF(F$5:F$21,"M*")</f>
        <v/>
      </c>
      <c r="G25" s="37">
        <f>COUNTIF(G$5:G$21,"M*")</f>
        <v/>
      </c>
      <c r="H25" s="37">
        <f>COUNTIF(H$5:H$21,"M*")</f>
        <v/>
      </c>
      <c r="I25" s="37">
        <f>COUNTIF(I$5:I$21,"M*")</f>
        <v/>
      </c>
      <c r="J25" s="37">
        <f>COUNTIF(J$5:J$21,"M*")</f>
        <v/>
      </c>
      <c r="K25" s="37">
        <f>COUNTIF(K$5:K$21,"M*")</f>
        <v/>
      </c>
      <c r="L25" s="37">
        <f>COUNTIF(L$5:L$21,"M*")</f>
        <v/>
      </c>
      <c r="M25" s="37">
        <f>COUNTIF(M$5:M$21,"M*")</f>
        <v/>
      </c>
      <c r="N25" s="37">
        <f>COUNTIF(N$5:N$21,"M*")</f>
        <v/>
      </c>
      <c r="O25" s="37">
        <f>COUNTIF(O$5:O$21,"M*")</f>
        <v/>
      </c>
      <c r="P25" s="37">
        <f>COUNTIF(P$5:P$21,"M*")</f>
        <v/>
      </c>
      <c r="Q25" s="37">
        <f>COUNTIF(Q$5:Q$21,"M*")</f>
        <v/>
      </c>
      <c r="R25" s="37">
        <f>COUNTIF(R$5:R$21,"M*")</f>
        <v/>
      </c>
      <c r="S25" s="37">
        <f>COUNTIF(S$5:S$21,"M*")</f>
        <v/>
      </c>
      <c r="T25" s="37">
        <f>COUNTIF(T$5:T$21,"M*")</f>
        <v/>
      </c>
      <c r="U25" s="37">
        <f>COUNTIF(U$5:U$21,"M*")</f>
        <v/>
      </c>
      <c r="V25" s="37">
        <f>COUNTIF(V$5:V$21,"M*")</f>
        <v/>
      </c>
      <c r="W25" s="37">
        <f>COUNTIF(W$5:W$21,"M*")</f>
        <v/>
      </c>
      <c r="X25" s="37">
        <f>COUNTIF(X$5:X$21,"M*")</f>
        <v/>
      </c>
      <c r="Y25" s="37">
        <f>COUNTIF(Y$5:Y$21,"M*")</f>
        <v/>
      </c>
      <c r="Z25" s="37">
        <f>COUNTIF(Z$5:Z$21,"M*")</f>
        <v/>
      </c>
      <c r="AA25" s="37">
        <f>COUNTIF(AA$5:AA$21,"M*")</f>
        <v/>
      </c>
      <c r="AB25" s="37">
        <f>COUNTIF(AB$5:AB$21,"M*")</f>
        <v/>
      </c>
      <c r="AC25" s="37">
        <f>COUNTIF(AC$5:AC$21,"M*")</f>
        <v/>
      </c>
      <c r="AD25" s="37">
        <f>COUNTIF(AD$5:AD$21,"M*")</f>
        <v/>
      </c>
      <c r="AE25" s="37">
        <f>COUNTIF(AE$5:AE$21,"M*")</f>
        <v/>
      </c>
      <c r="AF25" s="37">
        <f>COUNTIF(AF$5:AF$21,"M*")</f>
        <v/>
      </c>
      <c r="AG25" s="37">
        <f>COUNTIF(AG$5:AG$21,"M*")</f>
        <v/>
      </c>
      <c r="AH25" s="37">
        <f>COUNTIF(AH$5:AH$21,"M*")</f>
        <v/>
      </c>
      <c r="AI25" s="37">
        <f>COUNTIF(AI$5:AI$21,"M*")</f>
        <v/>
      </c>
      <c r="AJ25" s="37">
        <f>COUNTIF(AJ$5:AJ$21,"M*")</f>
        <v/>
      </c>
    </row>
    <row r="26" ht="18.75" customHeight="1" s="6">
      <c r="C26" s="90" t="inlineStr">
        <is>
          <t xml:space="preserve">Afternoon Shift </t>
        </is>
      </c>
      <c r="D26" s="134" t="n"/>
      <c r="E26" s="36" t="n"/>
      <c r="F26" s="37">
        <f>COUNTIF(F$5:F$21,"A*")</f>
        <v/>
      </c>
      <c r="G26" s="37">
        <f>COUNTIF(G$5:G$21,"A*")</f>
        <v/>
      </c>
      <c r="H26" s="37">
        <f>COUNTIF(H$5:H$21,"A*")</f>
        <v/>
      </c>
      <c r="I26" s="37">
        <f>COUNTIF(I$5:I$21,"A*")</f>
        <v/>
      </c>
      <c r="J26" s="37">
        <f>COUNTIF(J$5:J$21,"A*")</f>
        <v/>
      </c>
      <c r="K26" s="37">
        <f>COUNTIF(K$5:K$21,"A*")</f>
        <v/>
      </c>
      <c r="L26" s="37">
        <f>COUNTIF(L$5:L$21,"A*")</f>
        <v/>
      </c>
      <c r="M26" s="37">
        <f>COUNTIF(M$5:M$21,"A*")</f>
        <v/>
      </c>
      <c r="N26" s="37">
        <f>COUNTIF(N$5:N$21,"A*")</f>
        <v/>
      </c>
      <c r="O26" s="37">
        <f>COUNTIF(O$5:O$21,"A*")</f>
        <v/>
      </c>
      <c r="P26" s="37">
        <f>COUNTIF(P$5:P$21,"A*")</f>
        <v/>
      </c>
      <c r="Q26" s="37">
        <f>COUNTIF(Q$5:Q$21,"A*")</f>
        <v/>
      </c>
      <c r="R26" s="37">
        <f>COUNTIF(R$5:R$21,"A*")</f>
        <v/>
      </c>
      <c r="S26" s="37">
        <f>COUNTIF(S$5:S$21,"A*")</f>
        <v/>
      </c>
      <c r="T26" s="37">
        <f>COUNTIF(T$5:T$21,"A*")</f>
        <v/>
      </c>
      <c r="U26" s="37">
        <f>COUNTIF(U$5:U$21,"A*")</f>
        <v/>
      </c>
      <c r="V26" s="37">
        <f>COUNTIF(V$5:V$21,"A*")</f>
        <v/>
      </c>
      <c r="W26" s="37">
        <f>COUNTIF(W$5:W$21,"A*")</f>
        <v/>
      </c>
      <c r="X26" s="37">
        <f>COUNTIF(X$5:X$21,"A*")</f>
        <v/>
      </c>
      <c r="Y26" s="37">
        <f>COUNTIF(Y$5:Y$21,"A*")</f>
        <v/>
      </c>
      <c r="Z26" s="37">
        <f>COUNTIF(Z$5:Z$21,"A*")</f>
        <v/>
      </c>
      <c r="AA26" s="37">
        <f>COUNTIF(AA$5:AA$21,"A*")</f>
        <v/>
      </c>
      <c r="AB26" s="37">
        <f>COUNTIF(AB$5:AB$21,"A*")</f>
        <v/>
      </c>
      <c r="AC26" s="37">
        <f>COUNTIF(AC$5:AC$21,"A*")</f>
        <v/>
      </c>
      <c r="AD26" s="37">
        <f>COUNTIF(AD$5:AD$21,"A*")</f>
        <v/>
      </c>
      <c r="AE26" s="37">
        <f>COUNTIF(AE$5:AE$21,"A*")</f>
        <v/>
      </c>
      <c r="AF26" s="37">
        <f>COUNTIF(AF$5:AF$21,"A*")</f>
        <v/>
      </c>
      <c r="AG26" s="37">
        <f>COUNTIF(AG$5:AG$21,"A*")</f>
        <v/>
      </c>
      <c r="AH26" s="37">
        <f>COUNTIF(AH$5:AH$21,"A*")</f>
        <v/>
      </c>
      <c r="AI26" s="37">
        <f>COUNTIF(AI$5:AI$21,"A*")</f>
        <v/>
      </c>
      <c r="AJ26" s="37">
        <f>COUNTIF(AJ$5:AJ$21,"A*")</f>
        <v/>
      </c>
    </row>
    <row r="27" ht="18.75" customHeight="1" s="6">
      <c r="C27" s="90" t="inlineStr">
        <is>
          <t xml:space="preserve">Night Shift </t>
        </is>
      </c>
      <c r="D27" s="134" t="n"/>
      <c r="E27" s="36" t="n"/>
      <c r="F27" s="37">
        <f>COUNTIF(F$5:F$21,"N*")</f>
        <v/>
      </c>
      <c r="G27" s="37">
        <f>COUNTIF(G$5:G$21,"N*")</f>
        <v/>
      </c>
      <c r="H27" s="37">
        <f>COUNTIF(H$5:H$21,"N*")</f>
        <v/>
      </c>
      <c r="I27" s="37">
        <f>COUNTIF(I$5:I$21,"N*")</f>
        <v/>
      </c>
      <c r="J27" s="37">
        <f>COUNTIF(J$5:J$21,"N*")</f>
        <v/>
      </c>
      <c r="K27" s="37">
        <f>COUNTIF(K$5:K$21,"N*")</f>
        <v/>
      </c>
      <c r="L27" s="37">
        <f>COUNTIF(L$5:L$21,"N*")</f>
        <v/>
      </c>
      <c r="M27" s="37">
        <f>COUNTIF(M$5:M$21,"N*")</f>
        <v/>
      </c>
      <c r="N27" s="37">
        <f>COUNTIF(N$5:N$21,"N*")</f>
        <v/>
      </c>
      <c r="O27" s="37">
        <f>COUNTIF(O$5:O$21,"N*")</f>
        <v/>
      </c>
      <c r="P27" s="37">
        <f>COUNTIF(P$5:P$21,"N*")</f>
        <v/>
      </c>
      <c r="Q27" s="37">
        <f>COUNTIF(Q$5:Q$21,"N*")</f>
        <v/>
      </c>
      <c r="R27" s="37">
        <f>COUNTIF(R$5:R$21,"N*")</f>
        <v/>
      </c>
      <c r="S27" s="37">
        <f>COUNTIF(S$5:S$21,"N*")</f>
        <v/>
      </c>
      <c r="T27" s="37">
        <f>COUNTIF(T$5:T$21,"N*")</f>
        <v/>
      </c>
      <c r="U27" s="37">
        <f>COUNTIF(U$5:U$21,"N*")</f>
        <v/>
      </c>
      <c r="V27" s="37">
        <f>COUNTIF(V$5:V$21,"N*")</f>
        <v/>
      </c>
      <c r="W27" s="37">
        <f>COUNTIF(W$5:W$21,"N*")</f>
        <v/>
      </c>
      <c r="X27" s="37">
        <f>COUNTIF(X$5:X$21,"N*")</f>
        <v/>
      </c>
      <c r="Y27" s="37">
        <f>COUNTIF(Y$5:Y$21,"N*")</f>
        <v/>
      </c>
      <c r="Z27" s="37">
        <f>COUNTIF(Z$5:Z$21,"N*")</f>
        <v/>
      </c>
      <c r="AA27" s="37">
        <f>COUNTIF(AA$5:AA$21,"N*")</f>
        <v/>
      </c>
      <c r="AB27" s="37">
        <f>COUNTIF(AB$5:AB$21,"N*")</f>
        <v/>
      </c>
      <c r="AC27" s="37">
        <f>COUNTIF(AC$5:AC$21,"N*")</f>
        <v/>
      </c>
      <c r="AD27" s="37">
        <f>COUNTIF(AD$5:AD$21,"N*")</f>
        <v/>
      </c>
      <c r="AE27" s="37">
        <f>COUNTIF(AE$5:AE$21,"N*")</f>
        <v/>
      </c>
      <c r="AF27" s="37">
        <f>COUNTIF(AF$5:AF$21,"N*")</f>
        <v/>
      </c>
      <c r="AG27" s="37">
        <f>COUNTIF(AG$5:AG$21,"N*")</f>
        <v/>
      </c>
      <c r="AH27" s="37">
        <f>COUNTIF(AH$5:AH$21,"N*")</f>
        <v/>
      </c>
      <c r="AI27" s="37">
        <f>COUNTIF(AI$5:AI$21,"N*")</f>
        <v/>
      </c>
      <c r="AJ27" s="37">
        <f>COUNTIF(AJ$5:AJ$21,"N*")</f>
        <v/>
      </c>
    </row>
    <row r="28" ht="18.75" customHeight="1" s="6">
      <c r="C28" s="90" t="inlineStr">
        <is>
          <t>Offday</t>
        </is>
      </c>
      <c r="D28" s="134" t="n"/>
      <c r="E28" s="36" t="n"/>
      <c r="F28" s="37">
        <f>COUNTIF(F$5:F$23,"O*")</f>
        <v/>
      </c>
      <c r="G28" s="37">
        <f>COUNTIF(G$5:G$23,"O*")</f>
        <v/>
      </c>
      <c r="H28" s="37">
        <f>COUNTIF(H$5:H$23,"O*")</f>
        <v/>
      </c>
      <c r="I28" s="37">
        <f>COUNTIF(I$5:I$23,"O*")</f>
        <v/>
      </c>
      <c r="J28" s="37">
        <f>COUNTIF(J$5:J$23,"O*")</f>
        <v/>
      </c>
      <c r="K28" s="37">
        <f>COUNTIF(K$5:K$23,"O*")</f>
        <v/>
      </c>
      <c r="L28" s="37">
        <f>COUNTIF(L$5:L$23,"O*")</f>
        <v/>
      </c>
      <c r="M28" s="37">
        <f>COUNTIF(M$5:M$23,"O*")</f>
        <v/>
      </c>
      <c r="N28" s="37">
        <f>COUNTIF(N$5:N$23,"O*")</f>
        <v/>
      </c>
      <c r="O28" s="37">
        <f>COUNTIF(O$5:O$23,"O*")</f>
        <v/>
      </c>
      <c r="P28" s="37">
        <f>COUNTIF(P$5:P$23,"O*")</f>
        <v/>
      </c>
      <c r="Q28" s="37">
        <f>COUNTIF(Q$5:Q$23,"O*")</f>
        <v/>
      </c>
      <c r="R28" s="37">
        <f>COUNTIF(R$5:R$23,"O*")</f>
        <v/>
      </c>
      <c r="S28" s="37">
        <f>COUNTIF(S$5:S$23,"O*")</f>
        <v/>
      </c>
      <c r="T28" s="37">
        <f>COUNTIF(T$5:T$23,"O*")</f>
        <v/>
      </c>
      <c r="U28" s="37">
        <f>COUNTIF(U$5:U$23,"O*")</f>
        <v/>
      </c>
      <c r="V28" s="37">
        <f>COUNTIF(V$5:V$23,"O*")</f>
        <v/>
      </c>
      <c r="W28" s="37">
        <f>COUNTIF(W$5:W$23,"O*")</f>
        <v/>
      </c>
      <c r="X28" s="37">
        <f>COUNTIF(X$5:X$23,"O*")</f>
        <v/>
      </c>
      <c r="Y28" s="37">
        <f>COUNTIF(Y$5:Y$23,"O*")</f>
        <v/>
      </c>
      <c r="Z28" s="37">
        <f>COUNTIF(Z$5:Z$23,"O*")</f>
        <v/>
      </c>
      <c r="AA28" s="37">
        <f>COUNTIF(AA$5:AA$23,"O*")</f>
        <v/>
      </c>
      <c r="AB28" s="37">
        <f>COUNTIF(AB$5:AB$23,"O*")</f>
        <v/>
      </c>
      <c r="AC28" s="37">
        <f>COUNTIF(AC$5:AC$23,"O*")</f>
        <v/>
      </c>
      <c r="AD28" s="37">
        <f>COUNTIF(AD$5:AD$23,"O*")</f>
        <v/>
      </c>
      <c r="AE28" s="37">
        <f>COUNTIF(AE$5:AE$23,"O*")</f>
        <v/>
      </c>
      <c r="AF28" s="37">
        <f>COUNTIF(AF$5:AF$23,"O*")</f>
        <v/>
      </c>
      <c r="AG28" s="37">
        <f>COUNTIF(AG$5:AG$23,"O*")</f>
        <v/>
      </c>
      <c r="AH28" s="37">
        <f>COUNTIF(AH$5:AH$23,"O*")</f>
        <v/>
      </c>
      <c r="AI28" s="37">
        <f>COUNTIF(AI$5:AI$23,"O*")</f>
        <v/>
      </c>
      <c r="AJ28" s="37">
        <f>COUNTIF(AJ$5:AJ$23,"O*")</f>
        <v/>
      </c>
    </row>
    <row r="29" ht="18.75" customHeight="1" s="6">
      <c r="C29" s="90" t="inlineStr">
        <is>
          <t>Training</t>
        </is>
      </c>
      <c r="D29" s="134" t="n"/>
      <c r="E29" s="36" t="n"/>
      <c r="F29" s="37">
        <f>COUNTIF(F$5:F$23,"TR*")</f>
        <v/>
      </c>
      <c r="G29" s="37">
        <f>COUNTIF(G$5:G$23,"TR*")</f>
        <v/>
      </c>
      <c r="H29" s="37">
        <f>COUNTIF(H$5:H$23,"TR*")</f>
        <v/>
      </c>
      <c r="I29" s="37">
        <f>COUNTIF(I$5:I$23,"TR*")</f>
        <v/>
      </c>
      <c r="J29" s="37">
        <f>COUNTIF(J$5:J$23,"TR*")</f>
        <v/>
      </c>
      <c r="K29" s="37">
        <f>COUNTIF(K$5:K$23,"TR*")</f>
        <v/>
      </c>
      <c r="L29" s="37">
        <f>COUNTIF(L$5:L$23,"TR*")</f>
        <v/>
      </c>
      <c r="M29" s="37">
        <f>COUNTIF(M$5:M$23,"TR*")</f>
        <v/>
      </c>
      <c r="N29" s="37">
        <f>COUNTIF(N$5:N$23,"TR*")</f>
        <v/>
      </c>
      <c r="O29" s="37">
        <f>COUNTIF(O$5:O$23,"TR*")</f>
        <v/>
      </c>
      <c r="P29" s="37">
        <f>COUNTIF(P$5:P$23,"TR*")</f>
        <v/>
      </c>
      <c r="Q29" s="37">
        <f>COUNTIF(Q$5:Q$23,"TR*")</f>
        <v/>
      </c>
      <c r="R29" s="37">
        <f>COUNTIF(R$5:R$23,"TR*")</f>
        <v/>
      </c>
      <c r="S29" s="37">
        <f>COUNTIF(S$5:S$23,"TR*")</f>
        <v/>
      </c>
      <c r="T29" s="37">
        <f>COUNTIF(T$5:T$23,"TR*")</f>
        <v/>
      </c>
      <c r="U29" s="37">
        <f>COUNTIF(U$5:U$23,"TR*")</f>
        <v/>
      </c>
      <c r="V29" s="37">
        <f>COUNTIF(V$5:V$23,"TR*")</f>
        <v/>
      </c>
      <c r="W29" s="37">
        <f>COUNTIF(W$5:W$23,"TR*")</f>
        <v/>
      </c>
      <c r="X29" s="37">
        <f>COUNTIF(X$5:X$23,"TR*")</f>
        <v/>
      </c>
      <c r="Y29" s="37">
        <f>COUNTIF(Y$5:Y$23,"TR*")</f>
        <v/>
      </c>
      <c r="Z29" s="37">
        <f>COUNTIF(Z$5:Z$23,"TR*")</f>
        <v/>
      </c>
      <c r="AA29" s="37">
        <f>COUNTIF(AA$5:AA$23,"TR*")</f>
        <v/>
      </c>
      <c r="AB29" s="37">
        <f>COUNTIF(AB$5:AB$23,"TR*")</f>
        <v/>
      </c>
      <c r="AC29" s="37">
        <f>COUNTIF(AC$5:AC$23,"TR*")</f>
        <v/>
      </c>
      <c r="AD29" s="37">
        <f>COUNTIF(AD$5:AD$23,"TR*")</f>
        <v/>
      </c>
      <c r="AE29" s="37">
        <f>COUNTIF(AE$5:AE$23,"TR*")</f>
        <v/>
      </c>
      <c r="AF29" s="37">
        <f>COUNTIF(AF$5:AF$23,"TR*")</f>
        <v/>
      </c>
      <c r="AG29" s="37">
        <f>COUNTIF(AG$5:AG$23,"TR*")</f>
        <v/>
      </c>
      <c r="AH29" s="37">
        <f>COUNTIF(AH$5:AH$23,"TR*")</f>
        <v/>
      </c>
      <c r="AI29" s="37">
        <f>COUNTIF(AI$5:AI$23,"TR*")</f>
        <v/>
      </c>
      <c r="AJ29" s="37">
        <f>COUNTIF(AJ$5:AJ$23,"TR*")</f>
        <v/>
      </c>
    </row>
    <row r="30" ht="18.75" customHeight="1" s="6">
      <c r="C30" s="90" t="inlineStr">
        <is>
          <t>Standby Staffs</t>
        </is>
      </c>
      <c r="D30" s="134" t="n"/>
      <c r="E30" s="36" t="n"/>
      <c r="F30" s="37">
        <f>COUNTIF(F$5:F$23,"ST*")</f>
        <v/>
      </c>
      <c r="G30" s="37">
        <f>COUNTIF(G$5:G$23,"ST*")</f>
        <v/>
      </c>
      <c r="H30" s="37">
        <f>COUNTIF(H$5:H$23,"ST*")</f>
        <v/>
      </c>
      <c r="I30" s="37">
        <f>COUNTIF(I$5:I$23,"ST*")</f>
        <v/>
      </c>
      <c r="J30" s="37">
        <f>COUNTIF(J$5:J$23,"ST*")</f>
        <v/>
      </c>
      <c r="K30" s="37">
        <f>COUNTIF(K$5:K$23,"ST*")</f>
        <v/>
      </c>
      <c r="L30" s="37">
        <f>COUNTIF(L$5:L$23,"ST*")</f>
        <v/>
      </c>
      <c r="M30" s="37">
        <f>COUNTIF(M$5:M$23,"ST*")</f>
        <v/>
      </c>
      <c r="N30" s="37">
        <f>COUNTIF(N$5:N$23,"ST*")</f>
        <v/>
      </c>
      <c r="O30" s="37">
        <f>COUNTIF(O$5:O$23,"ST*")</f>
        <v/>
      </c>
      <c r="P30" s="37">
        <f>COUNTIF(P$5:P$23,"ST*")</f>
        <v/>
      </c>
      <c r="Q30" s="37">
        <f>COUNTIF(Q$5:Q$23,"ST*")</f>
        <v/>
      </c>
      <c r="R30" s="37">
        <f>COUNTIF(R$5:R$23,"ST*")</f>
        <v/>
      </c>
      <c r="S30" s="37">
        <f>COUNTIF(S$5:S$23,"ST*")</f>
        <v/>
      </c>
      <c r="T30" s="37">
        <f>COUNTIF(T$5:T$23,"ST*")</f>
        <v/>
      </c>
      <c r="U30" s="37">
        <f>COUNTIF(U$5:U$23,"ST*")</f>
        <v/>
      </c>
      <c r="V30" s="37">
        <f>COUNTIF(V$5:V$23,"ST*")</f>
        <v/>
      </c>
      <c r="W30" s="37">
        <f>COUNTIF(W$5:W$23,"ST*")</f>
        <v/>
      </c>
      <c r="X30" s="37">
        <f>COUNTIF(X$5:X$23,"ST*")</f>
        <v/>
      </c>
      <c r="Y30" s="37">
        <f>COUNTIF(Y$5:Y$23,"ST*")</f>
        <v/>
      </c>
      <c r="Z30" s="37">
        <f>COUNTIF(Z$5:Z$23,"ST*")</f>
        <v/>
      </c>
      <c r="AA30" s="37">
        <f>COUNTIF(AA$5:AA$23,"ST*")</f>
        <v/>
      </c>
      <c r="AB30" s="37">
        <f>COUNTIF(AB$5:AB$23,"ST*")</f>
        <v/>
      </c>
      <c r="AC30" s="37">
        <f>COUNTIF(AC$5:AC$23,"ST*")</f>
        <v/>
      </c>
      <c r="AD30" s="37">
        <f>COUNTIF(AD$5:AD$23,"ST*")</f>
        <v/>
      </c>
      <c r="AE30" s="37">
        <f>COUNTIF(AE$5:AE$23,"ST*")</f>
        <v/>
      </c>
      <c r="AF30" s="37">
        <f>COUNTIF(AF$5:AF$23,"ST*")</f>
        <v/>
      </c>
      <c r="AG30" s="37">
        <f>COUNTIF(AG$5:AG$23,"ST*")</f>
        <v/>
      </c>
      <c r="AH30" s="37">
        <f>COUNTIF(AH$5:AH$23,"ST*")</f>
        <v/>
      </c>
      <c r="AI30" s="37">
        <f>COUNTIF(AI$5:AI$23,"ST*")</f>
        <v/>
      </c>
      <c r="AJ30" s="37">
        <f>COUNTIF(AJ$5:AJ$23,"ST*")</f>
        <v/>
      </c>
    </row>
    <row r="31" ht="18.75" customHeight="1" s="6">
      <c r="C31" s="88" t="inlineStr">
        <is>
          <t>Extra Staffs</t>
        </is>
      </c>
      <c r="D31" s="134" t="n"/>
      <c r="E31" s="38" t="n"/>
      <c r="F31" s="59">
        <f>F33-F34</f>
        <v/>
      </c>
      <c r="G31" s="59">
        <f>G33-G34</f>
        <v/>
      </c>
      <c r="H31" s="59">
        <f>H33-H34</f>
        <v/>
      </c>
      <c r="I31" s="59">
        <f>I33-I34</f>
        <v/>
      </c>
      <c r="J31" s="59">
        <f>J33-J34</f>
        <v/>
      </c>
      <c r="K31" s="59">
        <f>K33-K34</f>
        <v/>
      </c>
      <c r="L31" s="59">
        <f>L33-L34</f>
        <v/>
      </c>
      <c r="M31" s="59">
        <f>M33-M34</f>
        <v/>
      </c>
      <c r="N31" s="59">
        <f>N33-N34</f>
        <v/>
      </c>
      <c r="O31" s="59">
        <f>O33-O34</f>
        <v/>
      </c>
      <c r="P31" s="59">
        <f>P33-P34</f>
        <v/>
      </c>
      <c r="Q31" s="59">
        <f>Q33-Q34</f>
        <v/>
      </c>
      <c r="R31" s="59">
        <f>R33-R34</f>
        <v/>
      </c>
      <c r="S31" s="59">
        <f>S33-S34</f>
        <v/>
      </c>
      <c r="T31" s="59">
        <f>T33-T34</f>
        <v/>
      </c>
      <c r="U31" s="59">
        <f>U33-U34</f>
        <v/>
      </c>
      <c r="V31" s="59">
        <f>V33-V34</f>
        <v/>
      </c>
      <c r="W31" s="59">
        <f>W33-W34</f>
        <v/>
      </c>
      <c r="X31" s="59">
        <f>X33-X34</f>
        <v/>
      </c>
      <c r="Y31" s="59">
        <f>Y33-Y34</f>
        <v/>
      </c>
      <c r="Z31" s="59">
        <f>Z33-Z34</f>
        <v/>
      </c>
      <c r="AA31" s="59">
        <f>AA33-AA34</f>
        <v/>
      </c>
      <c r="AB31" s="59">
        <f>AB33-AB34</f>
        <v/>
      </c>
      <c r="AC31" s="59">
        <f>AC33-AC34</f>
        <v/>
      </c>
      <c r="AD31" s="59">
        <f>AD33-AD34</f>
        <v/>
      </c>
      <c r="AE31" s="59">
        <f>AE33-AE34</f>
        <v/>
      </c>
      <c r="AF31" s="59">
        <f>AF33-AF34</f>
        <v/>
      </c>
      <c r="AG31" s="59">
        <f>AG33-AG34</f>
        <v/>
      </c>
      <c r="AH31" s="59">
        <f>AH33-AH34</f>
        <v/>
      </c>
      <c r="AI31" s="59">
        <f>AI33-AI34</f>
        <v/>
      </c>
      <c r="AJ31" s="59">
        <f>AJ33-AJ34</f>
        <v/>
      </c>
    </row>
    <row r="32" ht="9.75" customHeight="1" s="6">
      <c r="C32" s="40" t="n"/>
      <c r="D32" s="40" t="n"/>
      <c r="E32" s="36" t="n"/>
      <c r="F32" s="89" t="n"/>
      <c r="G32" s="133" t="n"/>
      <c r="H32" s="133" t="n"/>
      <c r="I32" s="133" t="n"/>
      <c r="J32" s="133" t="n"/>
      <c r="K32" s="133" t="n"/>
      <c r="L32" s="133" t="n"/>
      <c r="M32" s="133" t="n"/>
      <c r="N32" s="133" t="n"/>
      <c r="O32" s="133" t="n"/>
      <c r="P32" s="133" t="n"/>
      <c r="Q32" s="133" t="n"/>
      <c r="R32" s="133" t="n"/>
      <c r="S32" s="133" t="n"/>
      <c r="T32" s="133" t="n"/>
      <c r="U32" s="133" t="n"/>
      <c r="V32" s="133" t="n"/>
      <c r="W32" s="133" t="n"/>
      <c r="X32" s="133" t="n"/>
      <c r="Y32" s="133" t="n"/>
      <c r="Z32" s="133" t="n"/>
      <c r="AA32" s="133" t="n"/>
      <c r="AB32" s="133" t="n"/>
      <c r="AC32" s="133" t="n"/>
      <c r="AD32" s="133" t="n"/>
      <c r="AE32" s="133" t="n"/>
      <c r="AF32" s="133" t="n"/>
      <c r="AG32" s="133" t="n"/>
      <c r="AH32" s="133" t="n"/>
      <c r="AI32" s="133" t="n"/>
      <c r="AJ32" s="133" t="n"/>
    </row>
    <row r="33" ht="18.75" customHeight="1" s="6">
      <c r="C33" s="90" t="inlineStr">
        <is>
          <t xml:space="preserve">On duty </t>
        </is>
      </c>
      <c r="D33" s="134" t="n"/>
      <c r="E33" s="36" t="n"/>
      <c r="F33" s="41">
        <f>SUM(F25:F27)</f>
        <v/>
      </c>
      <c r="G33" s="41">
        <f>SUM(G25:G27)</f>
        <v/>
      </c>
      <c r="H33" s="41">
        <f>SUM(H25:H27)</f>
        <v/>
      </c>
      <c r="I33" s="41">
        <f>SUM(I25:I27)</f>
        <v/>
      </c>
      <c r="J33" s="41">
        <f>SUM(J25:J27)</f>
        <v/>
      </c>
      <c r="K33" s="41">
        <f>SUM(K25:K27)</f>
        <v/>
      </c>
      <c r="L33" s="41">
        <f>SUM(L25:L27)</f>
        <v/>
      </c>
      <c r="M33" s="41">
        <f>SUM(M25:M27)</f>
        <v/>
      </c>
      <c r="N33" s="41">
        <f>SUM(N25:N27)</f>
        <v/>
      </c>
      <c r="O33" s="41">
        <f>SUM(O25:O27)</f>
        <v/>
      </c>
      <c r="P33" s="41">
        <f>SUM(P25:P27)</f>
        <v/>
      </c>
      <c r="Q33" s="41">
        <f>SUM(Q25:Q27)</f>
        <v/>
      </c>
      <c r="R33" s="41">
        <f>SUM(R25:R27)</f>
        <v/>
      </c>
      <c r="S33" s="41">
        <f>SUM(S25:S27)</f>
        <v/>
      </c>
      <c r="T33" s="41">
        <f>SUM(T25:T27)</f>
        <v/>
      </c>
      <c r="U33" s="41">
        <f>SUM(U25:U27)</f>
        <v/>
      </c>
      <c r="V33" s="41">
        <f>SUM(V25:V27)</f>
        <v/>
      </c>
      <c r="W33" s="41">
        <f>SUM(W25:W27)</f>
        <v/>
      </c>
      <c r="X33" s="41">
        <f>SUM(X25:X27)</f>
        <v/>
      </c>
      <c r="Y33" s="41">
        <f>SUM(Y25:Y27)</f>
        <v/>
      </c>
      <c r="Z33" s="41">
        <f>SUM(Z25:Z27)</f>
        <v/>
      </c>
      <c r="AA33" s="41">
        <f>SUM(AA25:AA27)</f>
        <v/>
      </c>
      <c r="AB33" s="41">
        <f>SUM(AB25:AB27)</f>
        <v/>
      </c>
      <c r="AC33" s="41">
        <f>SUM(AC25:AC27)</f>
        <v/>
      </c>
      <c r="AD33" s="41">
        <f>SUM(AD25:AD27)</f>
        <v/>
      </c>
      <c r="AE33" s="41">
        <f>SUM(AE25:AE27)</f>
        <v/>
      </c>
      <c r="AF33" s="41">
        <f>SUM(AF25:AF27)</f>
        <v/>
      </c>
      <c r="AG33" s="41">
        <f>SUM(AG25:AG27)</f>
        <v/>
      </c>
      <c r="AH33" s="41">
        <f>SUM(AH25:AH27)</f>
        <v/>
      </c>
      <c r="AI33" s="41">
        <f>SUM(AI25:AI27)</f>
        <v/>
      </c>
      <c r="AJ33" s="41">
        <f>SUM(AJ25:AJ27)</f>
        <v/>
      </c>
    </row>
    <row r="34" ht="18.75" customHeight="1" s="6">
      <c r="C34" s="90" t="inlineStr">
        <is>
          <t xml:space="preserve">Minimum Requirement </t>
        </is>
      </c>
      <c r="D34" s="134" t="n"/>
      <c r="E34" s="36" t="n"/>
      <c r="F34" s="37" t="n">
        <v>9</v>
      </c>
      <c r="G34" s="37" t="n">
        <v>9</v>
      </c>
      <c r="H34" s="37" t="n">
        <v>9</v>
      </c>
      <c r="I34" s="37" t="n">
        <v>9</v>
      </c>
      <c r="J34" s="37" t="n">
        <v>9</v>
      </c>
      <c r="K34" s="37" t="n">
        <v>9</v>
      </c>
      <c r="L34" s="37" t="n">
        <v>9</v>
      </c>
      <c r="M34" s="37" t="n">
        <v>9</v>
      </c>
      <c r="N34" s="37" t="n">
        <v>9</v>
      </c>
      <c r="O34" s="37" t="n">
        <v>9</v>
      </c>
      <c r="P34" s="37" t="n">
        <v>9</v>
      </c>
      <c r="Q34" s="37" t="n">
        <v>9</v>
      </c>
      <c r="R34" s="37" t="n">
        <v>9</v>
      </c>
      <c r="S34" s="37" t="n">
        <v>9</v>
      </c>
      <c r="T34" s="37" t="n">
        <v>9</v>
      </c>
      <c r="U34" s="37" t="n">
        <v>9</v>
      </c>
      <c r="V34" s="37" t="n">
        <v>9</v>
      </c>
      <c r="W34" s="37" t="n">
        <v>9</v>
      </c>
      <c r="X34" s="37" t="n">
        <v>9</v>
      </c>
      <c r="Y34" s="37" t="n">
        <v>9</v>
      </c>
      <c r="Z34" s="37" t="n">
        <v>9</v>
      </c>
      <c r="AA34" s="37" t="n">
        <v>9</v>
      </c>
      <c r="AB34" s="37" t="n">
        <v>9</v>
      </c>
      <c r="AC34" s="37" t="n">
        <v>9</v>
      </c>
      <c r="AD34" s="37" t="n">
        <v>9</v>
      </c>
      <c r="AE34" s="37" t="n">
        <v>9</v>
      </c>
      <c r="AF34" s="37" t="n">
        <v>9</v>
      </c>
      <c r="AG34" s="37" t="n">
        <v>9</v>
      </c>
      <c r="AH34" s="37" t="n">
        <v>9</v>
      </c>
      <c r="AI34" s="37" t="n">
        <v>9</v>
      </c>
      <c r="AJ34" s="37" t="n">
        <v>9</v>
      </c>
    </row>
    <row r="35" ht="18.75" customHeight="1" s="6">
      <c r="C35" s="90" t="inlineStr">
        <is>
          <t xml:space="preserve">Total Staffs  </t>
        </is>
      </c>
      <c r="D35" s="134" t="n"/>
      <c r="E35" s="36" t="n"/>
      <c r="F35" s="37">
        <f>SUM(F25,F26,F27,F28,F30)</f>
        <v/>
      </c>
      <c r="G35" s="37">
        <f>SUM(G25,G26,G27,G28,G30)</f>
        <v/>
      </c>
      <c r="H35" s="37">
        <f>SUM(H25,H26,H27,H28,H30)</f>
        <v/>
      </c>
      <c r="I35" s="37">
        <f>SUM(I25,I26,I27,I28,I30)</f>
        <v/>
      </c>
      <c r="J35" s="37">
        <f>SUM(J25,J26,J27,J28,J30)</f>
        <v/>
      </c>
      <c r="K35" s="37">
        <f>SUM(K25,K26,K27,K28,K30)</f>
        <v/>
      </c>
      <c r="L35" s="37">
        <f>SUM(L25,L26,L27,L28,L30)</f>
        <v/>
      </c>
      <c r="M35" s="37">
        <f>SUM(M25,M26,M27,M28,M30)</f>
        <v/>
      </c>
      <c r="N35" s="37">
        <f>SUM(N25,N26,N27,N28,N30)</f>
        <v/>
      </c>
      <c r="O35" s="37">
        <f>SUM(O25,O26,O27,O28,O30)</f>
        <v/>
      </c>
      <c r="P35" s="37">
        <f>SUM(P25,P26,P27,P28,P30)</f>
        <v/>
      </c>
      <c r="Q35" s="37">
        <f>SUM(Q25,Q26,Q27,Q28,Q30)</f>
        <v/>
      </c>
      <c r="R35" s="37">
        <f>SUM(R25,R26,R27,R28,R30)</f>
        <v/>
      </c>
      <c r="S35" s="37">
        <f>SUM(S25,S26,S27,S28,S30)</f>
        <v/>
      </c>
      <c r="T35" s="37">
        <f>SUM(T25,T26,T27,T28,T30)</f>
        <v/>
      </c>
      <c r="U35" s="37">
        <f>SUM(U25,U26,U27,U28,U30)</f>
        <v/>
      </c>
      <c r="V35" s="37">
        <f>SUM(V25,V26,V27,V28,V30)</f>
        <v/>
      </c>
      <c r="W35" s="37">
        <f>SUM(W25,W26,W27,W28,W30)</f>
        <v/>
      </c>
      <c r="X35" s="37">
        <f>SUM(X25,X26,X27,X28,X30)</f>
        <v/>
      </c>
      <c r="Y35" s="37">
        <f>SUM(Y25,Y26,Y27,Y28,Y30)</f>
        <v/>
      </c>
      <c r="Z35" s="37">
        <f>SUM(Z25,Z26,Z27,Z28,Z30)</f>
        <v/>
      </c>
      <c r="AA35" s="37">
        <f>SUM(AA25,AA26,AA27,AA28,AA30)</f>
        <v/>
      </c>
      <c r="AB35" s="37">
        <f>SUM(AB25,AB26,AB27,AB28,AB30)</f>
        <v/>
      </c>
      <c r="AC35" s="37">
        <f>SUM(AC25,AC26,AC27,AC28,AC30)</f>
        <v/>
      </c>
      <c r="AD35" s="37">
        <f>SUM(AD25,AD26,AD27,AD28,AD30)</f>
        <v/>
      </c>
      <c r="AE35" s="37">
        <f>SUM(AE25,AE26,AE27,AE28,AE30)</f>
        <v/>
      </c>
      <c r="AF35" s="37">
        <f>SUM(AF25,AF26,AF27,AF28,AF30)</f>
        <v/>
      </c>
      <c r="AG35" s="37">
        <f>SUM(AG25,AG26,AG27,AG28,AG30)</f>
        <v/>
      </c>
      <c r="AH35" s="37">
        <f>SUM(AH25,AH26,AH27,AH28,AH30)</f>
        <v/>
      </c>
      <c r="AI35" s="37">
        <f>SUM(AI25,AI26,AI27,AI28,AI30)</f>
        <v/>
      </c>
      <c r="AJ35" s="37">
        <f>SUM(AJ25,AJ26,AJ27,AJ28,AJ30)</f>
        <v/>
      </c>
    </row>
  </sheetData>
  <mergeCells count="36">
    <mergeCell ref="C19:D19"/>
    <mergeCell ref="C20:D20"/>
    <mergeCell ref="C23:D23"/>
    <mergeCell ref="AO2:AO4"/>
    <mergeCell ref="AP2:AP4"/>
    <mergeCell ref="C9:D9"/>
    <mergeCell ref="F2:AJ2"/>
    <mergeCell ref="AL2:AL4"/>
    <mergeCell ref="AM2:AM4"/>
    <mergeCell ref="AN2:AN4"/>
    <mergeCell ref="C5:D5"/>
    <mergeCell ref="C6:D6"/>
    <mergeCell ref="C7:D7"/>
    <mergeCell ref="C8:D8"/>
    <mergeCell ref="B3:D4"/>
    <mergeCell ref="C16:D16"/>
    <mergeCell ref="C17:D17"/>
    <mergeCell ref="C18:D18"/>
    <mergeCell ref="C10:D10"/>
    <mergeCell ref="C11:D11"/>
    <mergeCell ref="C12:D12"/>
    <mergeCell ref="C13:D13"/>
    <mergeCell ref="C14:D14"/>
    <mergeCell ref="C15:D15"/>
    <mergeCell ref="C35:D35"/>
    <mergeCell ref="C25:D25"/>
    <mergeCell ref="C26:D26"/>
    <mergeCell ref="C27:D27"/>
    <mergeCell ref="C28:D28"/>
    <mergeCell ref="C30:D30"/>
    <mergeCell ref="C29:D29"/>
    <mergeCell ref="C21:D21"/>
    <mergeCell ref="C31:D31"/>
    <mergeCell ref="F32:AJ32"/>
    <mergeCell ref="C33:D33"/>
    <mergeCell ref="C34:D34"/>
  </mergeCells>
  <conditionalFormatting sqref="F5:AJ23">
    <cfRule type="containsText" priority="1" operator="containsText" dxfId="72" text="TR">
      <formula>NOT(ISERROR(SEARCH("TR",F5)))</formula>
    </cfRule>
    <cfRule type="containsText" priority="2" operator="containsText" dxfId="8" text="STN">
      <formula>NOT(ISERROR(SEARCH("STN",F5)))</formula>
    </cfRule>
    <cfRule type="containsText" priority="3" operator="containsText" dxfId="20" text="STN">
      <formula>NOT(ISERROR(SEARCH("STN",F5)))</formula>
    </cfRule>
    <cfRule type="containsText" priority="4" operator="containsText" dxfId="4" text="STM">
      <formula>NOT(ISERROR(SEARCH("STM",F5)))</formula>
    </cfRule>
    <cfRule type="containsText" priority="5" operator="containsText" dxfId="17" text="M">
      <formula>NOT(ISERROR(SEARCH("M",F5)))</formula>
    </cfRule>
    <cfRule type="containsText" priority="6" operator="containsText" dxfId="17" text="STM1">
      <formula>NOT(ISERROR(SEARCH("STM1",F5)))</formula>
    </cfRule>
    <cfRule type="containsText" priority="7" operator="containsText" dxfId="16" text="M">
      <formula>NOT(ISERROR(SEARCH("M",F5)))</formula>
    </cfRule>
    <cfRule type="containsText" priority="8" operator="containsText" dxfId="15" text="STM">
      <formula>NOT(ISERROR(SEARCH("STM",F5)))</formula>
    </cfRule>
    <cfRule type="containsText" priority="9" operator="containsText" dxfId="14" text="STM">
      <formula>NOT(ISERROR(SEARCH("STM",F5)))</formula>
    </cfRule>
  </conditionalFormatting>
  <conditionalFormatting sqref="F6:AJ23">
    <cfRule type="containsText" priority="10" operator="containsText" dxfId="6" text="STM1">
      <formula>NOT(ISERROR(SEARCH("STM1",F6)))</formula>
    </cfRule>
    <cfRule type="containsText" priority="11" operator="containsText" dxfId="5" text="STA">
      <formula>NOT(ISERROR(SEARCH("STA",F6)))</formula>
    </cfRule>
    <cfRule type="containsText" priority="12" operator="containsText" dxfId="4" text="STM1">
      <formula>NOT(ISERROR(SEARCH("STM1",F6)))</formula>
    </cfRule>
    <cfRule type="containsText" priority="13" operator="containsText" dxfId="3" text="O">
      <formula>NOT(ISERROR(SEARCH("O",F6)))</formula>
    </cfRule>
    <cfRule type="containsText" priority="14" operator="containsText" dxfId="2" text="N">
      <formula>NOT(ISERROR(SEARCH("N",F6)))</formula>
    </cfRule>
    <cfRule type="containsText" priority="15" operator="containsText" dxfId="1" text="A">
      <formula>NOT(ISERROR(SEARCH("A",F6)))</formula>
    </cfRule>
    <cfRule type="containsText" priority="16" operator="containsText" dxfId="0" text="M">
      <formula>NOT(ISERROR(SEARCH("M",F6)))</formula>
    </cfRule>
  </conditionalFormatting>
  <conditionalFormatting sqref="G5:AJ5">
    <cfRule type="containsText" priority="40" operator="containsText" dxfId="6" text="STM1">
      <formula>NOT(ISERROR(SEARCH("STM1",G5)))</formula>
    </cfRule>
    <cfRule type="containsText" priority="41" operator="containsText" dxfId="5" text="STA">
      <formula>NOT(ISERROR(SEARCH("STA",G5)))</formula>
    </cfRule>
    <cfRule type="containsText" priority="42" operator="containsText" dxfId="4" text="STM1">
      <formula>NOT(ISERROR(SEARCH("STM1",G5)))</formula>
    </cfRule>
    <cfRule type="containsText" priority="43" operator="containsText" dxfId="3" text="O">
      <formula>NOT(ISERROR(SEARCH("O",G5)))</formula>
    </cfRule>
    <cfRule type="containsText" priority="44" operator="containsText" dxfId="2" text="N">
      <formula>NOT(ISERROR(SEARCH("N",G5)))</formula>
    </cfRule>
    <cfRule type="containsText" priority="45" operator="containsText" dxfId="1" text="A">
      <formula>NOT(ISERROR(SEARCH("A",G5)))</formula>
    </cfRule>
    <cfRule type="containsText" priority="46" operator="containsText" dxfId="0" text="M">
      <formula>NOT(ISERROR(SEARCH("M",G5)))</formula>
    </cfRule>
  </conditionalFormatting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AP32"/>
  <sheetViews>
    <sheetView workbookViewId="0">
      <selection activeCell="H19" sqref="H19"/>
    </sheetView>
  </sheetViews>
  <sheetFormatPr baseColWidth="8" defaultRowHeight="15.75"/>
  <cols>
    <col width="3.42578125" customWidth="1" style="18" min="1" max="1"/>
    <col width="6" customWidth="1" style="18" min="2" max="2"/>
    <col width="12.85546875" customWidth="1" style="18" min="3" max="3"/>
    <col width="21.140625" customWidth="1" style="20" min="4" max="4"/>
    <col width="2.28515625" customWidth="1" style="18" min="5" max="5"/>
    <col width="10.7109375" customWidth="1" style="18" min="6" max="36"/>
    <col width="4.28515625" customWidth="1" style="18" min="37" max="37"/>
    <col width="9.140625" customWidth="1" style="18" min="38" max="16384"/>
  </cols>
  <sheetData>
    <row r="2" ht="39" customHeight="1" s="6">
      <c r="F2" s="112" t="inlineStr">
        <is>
          <t>Flight Attending (Export and Import)  Roster for the Month of September 2025</t>
        </is>
      </c>
      <c r="G2" s="133" t="n"/>
      <c r="H2" s="133" t="n"/>
      <c r="I2" s="133" t="n"/>
      <c r="J2" s="133" t="n"/>
      <c r="K2" s="133" t="n"/>
      <c r="L2" s="133" t="n"/>
      <c r="M2" s="133" t="n"/>
      <c r="N2" s="133" t="n"/>
      <c r="O2" s="133" t="n"/>
      <c r="P2" s="133" t="n"/>
      <c r="Q2" s="133" t="n"/>
      <c r="R2" s="133" t="n"/>
      <c r="S2" s="133" t="n"/>
      <c r="T2" s="133" t="n"/>
      <c r="U2" s="133" t="n"/>
      <c r="V2" s="133" t="n"/>
      <c r="W2" s="133" t="n"/>
      <c r="X2" s="133" t="n"/>
      <c r="Y2" s="133" t="n"/>
      <c r="Z2" s="133" t="n"/>
      <c r="AA2" s="133" t="n"/>
      <c r="AB2" s="133" t="n"/>
      <c r="AC2" s="133" t="n"/>
      <c r="AD2" s="133" t="n"/>
      <c r="AE2" s="133" t="n"/>
      <c r="AF2" s="133" t="n"/>
      <c r="AG2" s="133" t="n"/>
      <c r="AH2" s="133" t="n"/>
      <c r="AI2" s="133" t="n"/>
      <c r="AJ2" s="134" t="n"/>
      <c r="AL2" s="141" t="inlineStr">
        <is>
          <t xml:space="preserve">Staff Number Of Days Standby </t>
        </is>
      </c>
      <c r="AM2" s="141" t="inlineStr">
        <is>
          <t>Staff's Morning Duty</t>
        </is>
      </c>
      <c r="AN2" s="141" t="inlineStr">
        <is>
          <t>Staff's Afternoon Duty</t>
        </is>
      </c>
      <c r="AO2" s="141" t="inlineStr">
        <is>
          <t>Staff's Night Duty</t>
        </is>
      </c>
      <c r="AP2" s="141" t="inlineStr">
        <is>
          <t>Staff's Offdays</t>
        </is>
      </c>
    </row>
    <row r="3" ht="39" customHeight="1" s="6">
      <c r="B3" s="91" t="inlineStr">
        <is>
          <t>Employee</t>
        </is>
      </c>
      <c r="C3" s="142" t="n"/>
      <c r="D3" s="132" t="n"/>
      <c r="F3" s="28" t="inlineStr">
        <is>
          <t>MON</t>
        </is>
      </c>
      <c r="G3" s="29" t="inlineStr">
        <is>
          <t>TUE</t>
        </is>
      </c>
      <c r="H3" s="29" t="inlineStr">
        <is>
          <t>WED</t>
        </is>
      </c>
      <c r="I3" s="29" t="inlineStr">
        <is>
          <t>THU</t>
        </is>
      </c>
      <c r="J3" s="29" t="inlineStr">
        <is>
          <t>FRI</t>
        </is>
      </c>
      <c r="K3" s="29" t="inlineStr">
        <is>
          <t>SAT</t>
        </is>
      </c>
      <c r="L3" s="29" t="inlineStr">
        <is>
          <t>SUN</t>
        </is>
      </c>
      <c r="M3" s="29" t="inlineStr">
        <is>
          <t>MON</t>
        </is>
      </c>
      <c r="N3" s="29" t="inlineStr">
        <is>
          <t>TUE</t>
        </is>
      </c>
      <c r="O3" s="29" t="inlineStr">
        <is>
          <t>WED</t>
        </is>
      </c>
      <c r="P3" s="29" t="inlineStr">
        <is>
          <t>THU</t>
        </is>
      </c>
      <c r="Q3" s="29" t="inlineStr">
        <is>
          <t>FRI</t>
        </is>
      </c>
      <c r="R3" s="29" t="inlineStr">
        <is>
          <t>SAT</t>
        </is>
      </c>
      <c r="S3" s="29" t="inlineStr">
        <is>
          <t>SUN</t>
        </is>
      </c>
      <c r="T3" s="29" t="inlineStr">
        <is>
          <t>MON</t>
        </is>
      </c>
      <c r="U3" s="29" t="inlineStr">
        <is>
          <t>TUE</t>
        </is>
      </c>
      <c r="V3" s="29" t="inlineStr">
        <is>
          <t>WED</t>
        </is>
      </c>
      <c r="W3" s="29" t="inlineStr">
        <is>
          <t>THU</t>
        </is>
      </c>
      <c r="X3" s="29" t="inlineStr">
        <is>
          <t>FRI</t>
        </is>
      </c>
      <c r="Y3" s="29" t="inlineStr">
        <is>
          <t>SAT</t>
        </is>
      </c>
      <c r="Z3" s="29" t="inlineStr">
        <is>
          <t>SUN</t>
        </is>
      </c>
      <c r="AA3" s="29" t="inlineStr">
        <is>
          <t>MON</t>
        </is>
      </c>
      <c r="AB3" s="29" t="inlineStr">
        <is>
          <t>TUE</t>
        </is>
      </c>
      <c r="AC3" s="29" t="inlineStr">
        <is>
          <t>WED</t>
        </is>
      </c>
      <c r="AD3" s="29" t="inlineStr">
        <is>
          <t>THU</t>
        </is>
      </c>
      <c r="AE3" s="29" t="inlineStr">
        <is>
          <t>FRI</t>
        </is>
      </c>
      <c r="AF3" s="29" t="inlineStr">
        <is>
          <t>SAT</t>
        </is>
      </c>
      <c r="AG3" s="29" t="inlineStr">
        <is>
          <t>SUN</t>
        </is>
      </c>
      <c r="AH3" s="29" t="inlineStr">
        <is>
          <t>MON</t>
        </is>
      </c>
      <c r="AI3" s="30" t="inlineStr">
        <is>
          <t>TUE</t>
        </is>
      </c>
      <c r="AJ3" s="31" t="n"/>
      <c r="AL3" s="11" t="n"/>
      <c r="AM3" s="11" t="n"/>
      <c r="AN3" s="11" t="n"/>
      <c r="AO3" s="11" t="n"/>
      <c r="AP3" s="11" t="n"/>
    </row>
    <row r="4" ht="19.5" customHeight="1" s="6" thickBot="1">
      <c r="B4" s="137" t="n"/>
      <c r="C4" s="143" t="n"/>
      <c r="D4" s="138" t="n"/>
      <c r="F4" s="32" t="n">
        <v>1</v>
      </c>
      <c r="G4" s="33" t="n">
        <v>2</v>
      </c>
      <c r="H4" s="33" t="n">
        <v>3</v>
      </c>
      <c r="I4" s="33" t="n">
        <v>4</v>
      </c>
      <c r="J4" s="33" t="n">
        <v>5</v>
      </c>
      <c r="K4" s="33" t="n">
        <v>6</v>
      </c>
      <c r="L4" s="33" t="n">
        <v>7</v>
      </c>
      <c r="M4" s="33" t="n">
        <v>8</v>
      </c>
      <c r="N4" s="33" t="n">
        <v>9</v>
      </c>
      <c r="O4" s="33" t="n">
        <v>10</v>
      </c>
      <c r="P4" s="33" t="n">
        <v>11</v>
      </c>
      <c r="Q4" s="33" t="n">
        <v>12</v>
      </c>
      <c r="R4" s="33" t="n">
        <v>13</v>
      </c>
      <c r="S4" s="33" t="n">
        <v>14</v>
      </c>
      <c r="T4" s="33" t="n">
        <v>15</v>
      </c>
      <c r="U4" s="33" t="n">
        <v>16</v>
      </c>
      <c r="V4" s="33" t="n">
        <v>17</v>
      </c>
      <c r="W4" s="33" t="n">
        <v>18</v>
      </c>
      <c r="X4" s="33" t="n">
        <v>19</v>
      </c>
      <c r="Y4" s="33" t="n">
        <v>20</v>
      </c>
      <c r="Z4" s="33" t="n">
        <v>21</v>
      </c>
      <c r="AA4" s="33" t="n">
        <v>22</v>
      </c>
      <c r="AB4" s="33" t="n">
        <v>23</v>
      </c>
      <c r="AC4" s="33" t="n">
        <v>24</v>
      </c>
      <c r="AD4" s="33" t="n">
        <v>25</v>
      </c>
      <c r="AE4" s="33" t="n">
        <v>26</v>
      </c>
      <c r="AF4" s="33" t="n">
        <v>27</v>
      </c>
      <c r="AG4" s="33" t="n">
        <v>28</v>
      </c>
      <c r="AH4" s="33" t="n">
        <v>29</v>
      </c>
      <c r="AI4" s="34" t="n">
        <v>30</v>
      </c>
      <c r="AJ4" s="35" t="n"/>
      <c r="AL4" s="12" t="n"/>
      <c r="AM4" s="12" t="n"/>
      <c r="AN4" s="12" t="n"/>
      <c r="AO4" s="12" t="n"/>
      <c r="AP4" s="12" t="n"/>
    </row>
    <row r="5" ht="18.75" customHeight="1" s="6">
      <c r="B5" s="37" t="n">
        <v>1</v>
      </c>
      <c r="C5" s="104" t="inlineStr">
        <is>
          <t>Ahmed Al Hadi - 82654</t>
        </is>
      </c>
      <c r="D5" s="134" t="n"/>
      <c r="F5" s="27" t="inlineStr">
        <is>
          <t>M1</t>
        </is>
      </c>
      <c r="G5" s="23" t="inlineStr">
        <is>
          <t>M2</t>
        </is>
      </c>
      <c r="H5" s="23" t="inlineStr">
        <is>
          <t>STA1</t>
        </is>
      </c>
      <c r="I5" s="23" t="inlineStr">
        <is>
          <t>STN1</t>
        </is>
      </c>
      <c r="J5" s="23" t="inlineStr">
        <is>
          <t>N2</t>
        </is>
      </c>
      <c r="K5" s="23" t="inlineStr">
        <is>
          <t>O1</t>
        </is>
      </c>
      <c r="L5" s="23" t="inlineStr">
        <is>
          <t>O2</t>
        </is>
      </c>
      <c r="M5" s="23" t="inlineStr">
        <is>
          <t>O3</t>
        </is>
      </c>
      <c r="N5" s="23" t="inlineStr">
        <is>
          <t>M1</t>
        </is>
      </c>
      <c r="O5" s="23" t="inlineStr">
        <is>
          <t>M2</t>
        </is>
      </c>
      <c r="P5" s="23" t="inlineStr">
        <is>
          <t>A1</t>
        </is>
      </c>
      <c r="Q5" s="23" t="inlineStr">
        <is>
          <t>STN1</t>
        </is>
      </c>
      <c r="R5" s="23" t="inlineStr">
        <is>
          <t>N2</t>
        </is>
      </c>
      <c r="S5" s="23" t="inlineStr">
        <is>
          <t>O1</t>
        </is>
      </c>
      <c r="T5" s="23" t="inlineStr">
        <is>
          <t>O2</t>
        </is>
      </c>
      <c r="U5" s="23" t="inlineStr">
        <is>
          <t>O3</t>
        </is>
      </c>
      <c r="V5" s="23" t="inlineStr">
        <is>
          <t>M1</t>
        </is>
      </c>
      <c r="W5" s="23" t="inlineStr">
        <is>
          <t>STM2</t>
        </is>
      </c>
      <c r="X5" s="23" t="inlineStr">
        <is>
          <t>A1</t>
        </is>
      </c>
      <c r="Y5" s="23" t="inlineStr">
        <is>
          <t>N1</t>
        </is>
      </c>
      <c r="Z5" s="23" t="inlineStr">
        <is>
          <t>N2</t>
        </is>
      </c>
      <c r="AA5" s="23" t="inlineStr">
        <is>
          <t>O1</t>
        </is>
      </c>
      <c r="AB5" s="23" t="inlineStr">
        <is>
          <t>O2</t>
        </is>
      </c>
      <c r="AC5" s="23" t="inlineStr">
        <is>
          <t>O3</t>
        </is>
      </c>
      <c r="AD5" s="23" t="inlineStr">
        <is>
          <t>M1</t>
        </is>
      </c>
      <c r="AE5" s="23" t="inlineStr">
        <is>
          <t>M2</t>
        </is>
      </c>
      <c r="AF5" s="23" t="inlineStr">
        <is>
          <t>A1</t>
        </is>
      </c>
      <c r="AG5" s="23" t="inlineStr">
        <is>
          <t>STN1</t>
        </is>
      </c>
      <c r="AH5" s="23" t="inlineStr">
        <is>
          <t>N2</t>
        </is>
      </c>
      <c r="AI5" s="24" t="inlineStr">
        <is>
          <t>O1</t>
        </is>
      </c>
      <c r="AJ5" s="26" t="n"/>
      <c r="AL5" s="56">
        <f>COUNTIF($F5:$AJ5,"ST*")</f>
        <v/>
      </c>
      <c r="AM5" s="56">
        <f>COUNTIF($F5:$AJ5,"M*")</f>
        <v/>
      </c>
      <c r="AN5" s="56">
        <f>COUNTIF($F5:$AJ5,"A*")</f>
        <v/>
      </c>
      <c r="AO5" s="56">
        <f>COUNTIF($F5:$AJ5,"N*")</f>
        <v/>
      </c>
      <c r="AP5" s="56">
        <f>COUNTIF($F5:$AJ5,"O*")</f>
        <v/>
      </c>
    </row>
    <row r="6" ht="18.75" customHeight="1" s="6">
      <c r="B6" s="37" t="n">
        <v>2</v>
      </c>
      <c r="C6" s="104" t="inlineStr">
        <is>
          <t xml:space="preserve">82423 Badar Al Burtamani - </t>
        </is>
      </c>
      <c r="D6" s="134" t="n"/>
      <c r="F6" s="57" t="inlineStr">
        <is>
          <t>A1</t>
        </is>
      </c>
      <c r="G6" s="57" t="inlineStr">
        <is>
          <t>A2</t>
        </is>
      </c>
      <c r="H6" s="57" t="inlineStr">
        <is>
          <t>N1</t>
        </is>
      </c>
      <c r="I6" s="57" t="inlineStr">
        <is>
          <t>N2</t>
        </is>
      </c>
      <c r="J6" s="57" t="inlineStr">
        <is>
          <t>O1</t>
        </is>
      </c>
      <c r="K6" s="57" t="inlineStr">
        <is>
          <t>O2</t>
        </is>
      </c>
      <c r="L6" s="57" t="inlineStr">
        <is>
          <t>O3</t>
        </is>
      </c>
      <c r="M6" s="57" t="inlineStr">
        <is>
          <t>M1</t>
        </is>
      </c>
      <c r="N6" s="57" t="inlineStr">
        <is>
          <t>STA1</t>
        </is>
      </c>
      <c r="O6" s="57" t="inlineStr">
        <is>
          <t>A2</t>
        </is>
      </c>
      <c r="P6" s="57" t="inlineStr">
        <is>
          <t>N1</t>
        </is>
      </c>
      <c r="Q6" s="57" t="inlineStr">
        <is>
          <t>N2</t>
        </is>
      </c>
      <c r="R6" s="57" t="inlineStr">
        <is>
          <t>O1</t>
        </is>
      </c>
      <c r="S6" s="57" t="inlineStr">
        <is>
          <t>O2</t>
        </is>
      </c>
      <c r="T6" s="57" t="inlineStr">
        <is>
          <t>O3</t>
        </is>
      </c>
      <c r="U6" s="57" t="inlineStr">
        <is>
          <t>M1</t>
        </is>
      </c>
      <c r="V6" s="57" t="inlineStr">
        <is>
          <t>STA1</t>
        </is>
      </c>
      <c r="W6" s="57" t="inlineStr">
        <is>
          <t>A2</t>
        </is>
      </c>
      <c r="X6" s="57" t="inlineStr">
        <is>
          <t>N1</t>
        </is>
      </c>
      <c r="Y6" s="57" t="inlineStr">
        <is>
          <t>N2</t>
        </is>
      </c>
      <c r="Z6" s="57" t="inlineStr">
        <is>
          <t>O1</t>
        </is>
      </c>
      <c r="AA6" s="57" t="inlineStr">
        <is>
          <t>O2</t>
        </is>
      </c>
      <c r="AB6" s="57" t="inlineStr">
        <is>
          <t>O3</t>
        </is>
      </c>
      <c r="AC6" s="57" t="inlineStr">
        <is>
          <t>M1</t>
        </is>
      </c>
      <c r="AD6" s="57" t="inlineStr">
        <is>
          <t>STA1</t>
        </is>
      </c>
      <c r="AE6" s="57" t="inlineStr">
        <is>
          <t>A2</t>
        </is>
      </c>
      <c r="AF6" s="57" t="inlineStr">
        <is>
          <t>N1</t>
        </is>
      </c>
      <c r="AG6" s="57" t="inlineStr">
        <is>
          <t>N2</t>
        </is>
      </c>
      <c r="AH6" s="57" t="inlineStr">
        <is>
          <t>O1</t>
        </is>
      </c>
      <c r="AI6" s="25" t="inlineStr">
        <is>
          <t>O2</t>
        </is>
      </c>
      <c r="AJ6" s="19" t="n"/>
      <c r="AL6" s="56">
        <f>COUNTIF($F6:$AJ6,"ST*")</f>
        <v/>
      </c>
      <c r="AM6" s="56">
        <f>COUNTIF($F6:$AJ6,"M*")</f>
        <v/>
      </c>
      <c r="AN6" s="56">
        <f>COUNTIF($F6:$AJ6,"A*")</f>
        <v/>
      </c>
      <c r="AO6" s="56">
        <f>COUNTIF($F6:$AJ6,"N*")</f>
        <v/>
      </c>
      <c r="AP6" s="56">
        <f>COUNTIF($F6:$AJ6,"O*")</f>
        <v/>
      </c>
    </row>
    <row r="7" ht="18.75" customHeight="1" s="6">
      <c r="B7" s="37" t="n">
        <v>3</v>
      </c>
      <c r="C7" s="104" t="inlineStr">
        <is>
          <t>82427 Ahmed Al Oraimi</t>
        </is>
      </c>
      <c r="D7" s="134" t="n"/>
      <c r="F7" s="57" t="inlineStr">
        <is>
          <t>A1</t>
        </is>
      </c>
      <c r="G7" s="57" t="inlineStr">
        <is>
          <t>N1</t>
        </is>
      </c>
      <c r="H7" s="57" t="inlineStr">
        <is>
          <t>N2</t>
        </is>
      </c>
      <c r="I7" s="57" t="inlineStr">
        <is>
          <t>O1</t>
        </is>
      </c>
      <c r="J7" s="57" t="inlineStr">
        <is>
          <t>O2</t>
        </is>
      </c>
      <c r="K7" s="57" t="inlineStr">
        <is>
          <t>O3</t>
        </is>
      </c>
      <c r="L7" s="57" t="inlineStr">
        <is>
          <t>M1</t>
        </is>
      </c>
      <c r="M7" s="57" t="inlineStr">
        <is>
          <t>M2</t>
        </is>
      </c>
      <c r="N7" s="57" t="inlineStr">
        <is>
          <t>A1</t>
        </is>
      </c>
      <c r="O7" s="57" t="inlineStr">
        <is>
          <t>N1</t>
        </is>
      </c>
      <c r="P7" s="57" t="inlineStr">
        <is>
          <t>N2</t>
        </is>
      </c>
      <c r="Q7" s="57" t="inlineStr">
        <is>
          <t>O1</t>
        </is>
      </c>
      <c r="R7" s="57" t="inlineStr">
        <is>
          <t>O2</t>
        </is>
      </c>
      <c r="S7" s="57" t="inlineStr">
        <is>
          <t>O3</t>
        </is>
      </c>
      <c r="T7" s="57" t="inlineStr">
        <is>
          <t>M1</t>
        </is>
      </c>
      <c r="U7" s="57" t="inlineStr">
        <is>
          <t>M2</t>
        </is>
      </c>
      <c r="V7" s="57" t="inlineStr">
        <is>
          <t>A1</t>
        </is>
      </c>
      <c r="W7" s="57" t="inlineStr">
        <is>
          <t>N1</t>
        </is>
      </c>
      <c r="X7" s="57" t="inlineStr">
        <is>
          <t>N2</t>
        </is>
      </c>
      <c r="Y7" s="57" t="inlineStr">
        <is>
          <t>O1</t>
        </is>
      </c>
      <c r="Z7" s="57" t="inlineStr">
        <is>
          <t>O2</t>
        </is>
      </c>
      <c r="AA7" s="57" t="inlineStr">
        <is>
          <t>O3</t>
        </is>
      </c>
      <c r="AB7" s="57" t="inlineStr">
        <is>
          <t>M1</t>
        </is>
      </c>
      <c r="AC7" s="57" t="inlineStr">
        <is>
          <t>M2</t>
        </is>
      </c>
      <c r="AD7" s="57" t="inlineStr">
        <is>
          <t>A1</t>
        </is>
      </c>
      <c r="AE7" s="57" t="inlineStr">
        <is>
          <t>N1</t>
        </is>
      </c>
      <c r="AF7" s="57" t="inlineStr">
        <is>
          <t>N2</t>
        </is>
      </c>
      <c r="AG7" s="57" t="inlineStr">
        <is>
          <t>O1</t>
        </is>
      </c>
      <c r="AH7" s="57" t="inlineStr">
        <is>
          <t>O2</t>
        </is>
      </c>
      <c r="AI7" s="25" t="inlineStr">
        <is>
          <t>O3</t>
        </is>
      </c>
      <c r="AJ7" s="19" t="n"/>
      <c r="AL7" s="56">
        <f>COUNTIF($F7:$AJ7,"ST*")</f>
        <v/>
      </c>
      <c r="AM7" s="56">
        <f>COUNTIF($F7:$AJ7,"M*")</f>
        <v/>
      </c>
      <c r="AN7" s="56">
        <f>COUNTIF($F7:$AJ7,"A*")</f>
        <v/>
      </c>
      <c r="AO7" s="56">
        <f>COUNTIF($F7:$AJ7,"N*")</f>
        <v/>
      </c>
      <c r="AP7" s="56">
        <f>COUNTIF($F7:$AJ7,"O*")</f>
        <v/>
      </c>
    </row>
    <row r="8" ht="18.75" customHeight="1" s="6">
      <c r="B8" s="37" t="n">
        <v>4</v>
      </c>
      <c r="C8" s="104" t="inlineStr">
        <is>
          <t>82420 Mohamed Al Saadi</t>
        </is>
      </c>
      <c r="D8" s="134" t="n"/>
      <c r="F8" s="57" t="inlineStr">
        <is>
          <t>N1</t>
        </is>
      </c>
      <c r="G8" s="57" t="inlineStr">
        <is>
          <t>N2</t>
        </is>
      </c>
      <c r="H8" s="57" t="inlineStr">
        <is>
          <t>O1</t>
        </is>
      </c>
      <c r="I8" s="57" t="inlineStr">
        <is>
          <t>O2</t>
        </is>
      </c>
      <c r="J8" s="57" t="inlineStr">
        <is>
          <t>O3</t>
        </is>
      </c>
      <c r="K8" s="57" t="inlineStr">
        <is>
          <t>M1</t>
        </is>
      </c>
      <c r="L8" s="57" t="inlineStr">
        <is>
          <t>M2</t>
        </is>
      </c>
      <c r="M8" s="57" t="inlineStr">
        <is>
          <t>A1</t>
        </is>
      </c>
      <c r="N8" s="57" t="inlineStr">
        <is>
          <t>N1</t>
        </is>
      </c>
      <c r="O8" s="57" t="inlineStr">
        <is>
          <t>N2</t>
        </is>
      </c>
      <c r="P8" s="57" t="inlineStr">
        <is>
          <t>O1</t>
        </is>
      </c>
      <c r="Q8" s="57" t="inlineStr">
        <is>
          <t>O2</t>
        </is>
      </c>
      <c r="R8" s="57" t="inlineStr">
        <is>
          <t>O3</t>
        </is>
      </c>
      <c r="S8" s="57" t="inlineStr">
        <is>
          <t>M1</t>
        </is>
      </c>
      <c r="T8" s="57" t="inlineStr">
        <is>
          <t>M2</t>
        </is>
      </c>
      <c r="U8" s="57" t="inlineStr">
        <is>
          <t>A1</t>
        </is>
      </c>
      <c r="V8" s="57" t="inlineStr">
        <is>
          <t>STN1</t>
        </is>
      </c>
      <c r="W8" s="57" t="inlineStr">
        <is>
          <t>N2</t>
        </is>
      </c>
      <c r="X8" s="57" t="inlineStr">
        <is>
          <t>O1</t>
        </is>
      </c>
      <c r="Y8" s="57" t="inlineStr">
        <is>
          <t>O2</t>
        </is>
      </c>
      <c r="Z8" s="57" t="inlineStr">
        <is>
          <t>O3</t>
        </is>
      </c>
      <c r="AA8" s="57" t="inlineStr">
        <is>
          <t>M1</t>
        </is>
      </c>
      <c r="AB8" s="57" t="inlineStr">
        <is>
          <t>M2</t>
        </is>
      </c>
      <c r="AC8" s="57" t="inlineStr">
        <is>
          <t>A1</t>
        </is>
      </c>
      <c r="AD8" s="57" t="inlineStr">
        <is>
          <t>STN1</t>
        </is>
      </c>
      <c r="AE8" s="57" t="inlineStr">
        <is>
          <t>N2</t>
        </is>
      </c>
      <c r="AF8" s="57" t="inlineStr">
        <is>
          <t>O1</t>
        </is>
      </c>
      <c r="AG8" s="57" t="inlineStr">
        <is>
          <t>O2</t>
        </is>
      </c>
      <c r="AH8" s="57" t="inlineStr">
        <is>
          <t>O3</t>
        </is>
      </c>
      <c r="AI8" s="25" t="inlineStr">
        <is>
          <t>M1</t>
        </is>
      </c>
      <c r="AJ8" s="19" t="n"/>
      <c r="AL8" s="56">
        <f>COUNTIF($F8:$AJ8,"ST*")</f>
        <v/>
      </c>
      <c r="AM8" s="56">
        <f>COUNTIF($F8:$AJ8,"M*")</f>
        <v/>
      </c>
      <c r="AN8" s="56">
        <f>COUNTIF($F8:$AJ8,"A*")</f>
        <v/>
      </c>
      <c r="AO8" s="56">
        <f>COUNTIF($F8:$AJ8,"N*")</f>
        <v/>
      </c>
      <c r="AP8" s="56">
        <f>COUNTIF($F8:$AJ8,"O*")</f>
        <v/>
      </c>
    </row>
    <row r="9" ht="18.75" customHeight="1" s="6">
      <c r="B9" s="37" t="n">
        <v>5</v>
      </c>
      <c r="C9" s="104" t="inlineStr">
        <is>
          <t>80480 Younis Al Siyabi</t>
        </is>
      </c>
      <c r="D9" s="134" t="n"/>
      <c r="F9" s="57" t="inlineStr">
        <is>
          <t>O</t>
        </is>
      </c>
      <c r="G9" s="57" t="inlineStr">
        <is>
          <t>O1</t>
        </is>
      </c>
      <c r="H9" s="57" t="inlineStr">
        <is>
          <t>O2</t>
        </is>
      </c>
      <c r="I9" s="57" t="inlineStr">
        <is>
          <t>O3</t>
        </is>
      </c>
      <c r="J9" s="57" t="inlineStr">
        <is>
          <t>M1</t>
        </is>
      </c>
      <c r="K9" s="57" t="inlineStr">
        <is>
          <t>M2</t>
        </is>
      </c>
      <c r="L9" s="57" t="inlineStr">
        <is>
          <t>A1</t>
        </is>
      </c>
      <c r="M9" s="57" t="inlineStr">
        <is>
          <t>N2</t>
        </is>
      </c>
      <c r="N9" s="57" t="inlineStr">
        <is>
          <t>N3</t>
        </is>
      </c>
      <c r="O9" s="57" t="inlineStr">
        <is>
          <t>O1</t>
        </is>
      </c>
      <c r="P9" s="57" t="inlineStr">
        <is>
          <t>O2</t>
        </is>
      </c>
      <c r="Q9" s="57" t="inlineStr">
        <is>
          <t>O3</t>
        </is>
      </c>
      <c r="R9" s="57" t="inlineStr">
        <is>
          <t>M1</t>
        </is>
      </c>
      <c r="S9" s="57" t="inlineStr">
        <is>
          <t>M2</t>
        </is>
      </c>
      <c r="T9" s="57" t="inlineStr">
        <is>
          <t>A1</t>
        </is>
      </c>
      <c r="U9" s="57" t="inlineStr">
        <is>
          <t>N1</t>
        </is>
      </c>
      <c r="V9" s="57" t="inlineStr">
        <is>
          <t>N2</t>
        </is>
      </c>
      <c r="W9" s="57" t="inlineStr">
        <is>
          <t>O1</t>
        </is>
      </c>
      <c r="X9" s="57" t="inlineStr">
        <is>
          <t>O2</t>
        </is>
      </c>
      <c r="Y9" s="57" t="inlineStr">
        <is>
          <t>O3</t>
        </is>
      </c>
      <c r="Z9" s="57" t="inlineStr">
        <is>
          <t>M1</t>
        </is>
      </c>
      <c r="AA9" s="57" t="inlineStr">
        <is>
          <t>M2</t>
        </is>
      </c>
      <c r="AB9" s="57" t="inlineStr">
        <is>
          <t>A1</t>
        </is>
      </c>
      <c r="AC9" s="57" t="inlineStr">
        <is>
          <t>STN1</t>
        </is>
      </c>
      <c r="AD9" s="57" t="inlineStr">
        <is>
          <t>N2</t>
        </is>
      </c>
      <c r="AE9" s="57" t="inlineStr">
        <is>
          <t>O1</t>
        </is>
      </c>
      <c r="AF9" s="57" t="inlineStr">
        <is>
          <t>O2</t>
        </is>
      </c>
      <c r="AG9" s="57" t="inlineStr">
        <is>
          <t>O3</t>
        </is>
      </c>
      <c r="AH9" s="57" t="inlineStr">
        <is>
          <t>M1</t>
        </is>
      </c>
      <c r="AI9" s="25" t="inlineStr">
        <is>
          <t>M2</t>
        </is>
      </c>
      <c r="AJ9" s="19" t="n"/>
      <c r="AL9" s="56">
        <f>COUNTIF($F9:$AJ9,"ST*")</f>
        <v/>
      </c>
      <c r="AM9" s="56">
        <f>COUNTIF($F9:$AJ9,"M*")</f>
        <v/>
      </c>
      <c r="AN9" s="56">
        <f>COUNTIF($F9:$AJ9,"A*")</f>
        <v/>
      </c>
      <c r="AO9" s="56">
        <f>COUNTIF($F9:$AJ9,"N*")</f>
        <v/>
      </c>
      <c r="AP9" s="56">
        <f>COUNTIF($F9:$AJ9,"O*")</f>
        <v/>
      </c>
    </row>
    <row r="10" ht="18.75" customHeight="1" s="6">
      <c r="B10" s="37" t="n">
        <v>6</v>
      </c>
      <c r="C10" s="104" t="inlineStr">
        <is>
          <t>82419 Haitham Al Balushi</t>
        </is>
      </c>
      <c r="D10" s="134" t="n"/>
      <c r="F10" s="57" t="inlineStr">
        <is>
          <t>O1</t>
        </is>
      </c>
      <c r="G10" s="57" t="inlineStr">
        <is>
          <t>O2</t>
        </is>
      </c>
      <c r="H10" s="57" t="inlineStr">
        <is>
          <t>O3</t>
        </is>
      </c>
      <c r="I10" s="57" t="inlineStr">
        <is>
          <t>M1</t>
        </is>
      </c>
      <c r="J10" s="57" t="inlineStr">
        <is>
          <t>M2</t>
        </is>
      </c>
      <c r="K10" s="57" t="inlineStr">
        <is>
          <t>A1</t>
        </is>
      </c>
      <c r="L10" s="57" t="inlineStr">
        <is>
          <t>N1</t>
        </is>
      </c>
      <c r="M10" s="57" t="inlineStr">
        <is>
          <t>N2</t>
        </is>
      </c>
      <c r="N10" s="57" t="inlineStr">
        <is>
          <t>O1</t>
        </is>
      </c>
      <c r="O10" s="57" t="inlineStr">
        <is>
          <t>O2</t>
        </is>
      </c>
      <c r="P10" s="57" t="inlineStr">
        <is>
          <t>O3</t>
        </is>
      </c>
      <c r="Q10" s="57" t="inlineStr">
        <is>
          <t>M1</t>
        </is>
      </c>
      <c r="R10" s="57" t="inlineStr">
        <is>
          <t>M2</t>
        </is>
      </c>
      <c r="S10" s="57" t="inlineStr">
        <is>
          <t>A1</t>
        </is>
      </c>
      <c r="T10" s="57" t="inlineStr">
        <is>
          <t>N1</t>
        </is>
      </c>
      <c r="U10" s="57" t="inlineStr">
        <is>
          <t>N2</t>
        </is>
      </c>
      <c r="V10" s="57" t="inlineStr">
        <is>
          <t>O1</t>
        </is>
      </c>
      <c r="W10" s="57" t="inlineStr">
        <is>
          <t>O2</t>
        </is>
      </c>
      <c r="X10" s="57" t="inlineStr">
        <is>
          <t>O3</t>
        </is>
      </c>
      <c r="Y10" s="57" t="inlineStr">
        <is>
          <t>M1</t>
        </is>
      </c>
      <c r="Z10" s="57" t="inlineStr">
        <is>
          <t>M2</t>
        </is>
      </c>
      <c r="AA10" s="57" t="inlineStr">
        <is>
          <t>A1</t>
        </is>
      </c>
      <c r="AB10" s="57" t="inlineStr">
        <is>
          <t>STN1</t>
        </is>
      </c>
      <c r="AC10" s="57" t="inlineStr">
        <is>
          <t>N2</t>
        </is>
      </c>
      <c r="AD10" s="57" t="inlineStr">
        <is>
          <t>O1</t>
        </is>
      </c>
      <c r="AE10" s="57" t="inlineStr">
        <is>
          <t>O2</t>
        </is>
      </c>
      <c r="AF10" s="57" t="inlineStr">
        <is>
          <t>O3</t>
        </is>
      </c>
      <c r="AG10" s="57" t="inlineStr">
        <is>
          <t>M1</t>
        </is>
      </c>
      <c r="AH10" s="57" t="inlineStr">
        <is>
          <t>M2</t>
        </is>
      </c>
      <c r="AI10" s="25" t="inlineStr">
        <is>
          <t>A1</t>
        </is>
      </c>
      <c r="AJ10" s="19" t="n"/>
      <c r="AL10" s="56">
        <f>COUNTIF($F10:$AJ10,"ST*")</f>
        <v/>
      </c>
      <c r="AM10" s="56">
        <f>COUNTIF($F10:$AJ10,"M*")</f>
        <v/>
      </c>
      <c r="AN10" s="56">
        <f>COUNTIF($F10:$AJ10,"A*")</f>
        <v/>
      </c>
      <c r="AO10" s="56">
        <f>COUNTIF($F10:$AJ10,"N*")</f>
        <v/>
      </c>
      <c r="AP10" s="56">
        <f>COUNTIF($F10:$AJ10,"O*")</f>
        <v/>
      </c>
    </row>
    <row r="11" ht="18.75" customHeight="1" s="6">
      <c r="B11" s="37" t="n">
        <v>7</v>
      </c>
      <c r="C11" s="104" t="inlineStr">
        <is>
          <t>82431 Mahmood Al Balushi</t>
        </is>
      </c>
      <c r="D11" s="134" t="n"/>
      <c r="F11" s="57" t="inlineStr">
        <is>
          <t>O2</t>
        </is>
      </c>
      <c r="G11" s="57" t="inlineStr">
        <is>
          <t>O3</t>
        </is>
      </c>
      <c r="H11" s="57" t="inlineStr">
        <is>
          <t>M1</t>
        </is>
      </c>
      <c r="I11" s="57" t="inlineStr">
        <is>
          <t>M2</t>
        </is>
      </c>
      <c r="J11" s="57" t="inlineStr">
        <is>
          <t>A1</t>
        </is>
      </c>
      <c r="K11" s="57" t="inlineStr">
        <is>
          <t>N1</t>
        </is>
      </c>
      <c r="L11" s="57" t="inlineStr">
        <is>
          <t>N2</t>
        </is>
      </c>
      <c r="M11" s="57" t="inlineStr">
        <is>
          <t>O1</t>
        </is>
      </c>
      <c r="N11" s="57" t="inlineStr">
        <is>
          <t>O2</t>
        </is>
      </c>
      <c r="O11" s="57" t="inlineStr">
        <is>
          <t>O3</t>
        </is>
      </c>
      <c r="P11" s="57" t="inlineStr">
        <is>
          <t>M1</t>
        </is>
      </c>
      <c r="Q11" s="57" t="inlineStr">
        <is>
          <t>A1</t>
        </is>
      </c>
      <c r="R11" s="57" t="inlineStr">
        <is>
          <t>STN1</t>
        </is>
      </c>
      <c r="S11" s="57" t="inlineStr">
        <is>
          <t>N2</t>
        </is>
      </c>
      <c r="T11" s="57" t="inlineStr">
        <is>
          <t>N3</t>
        </is>
      </c>
      <c r="U11" s="57" t="inlineStr">
        <is>
          <t>O1</t>
        </is>
      </c>
      <c r="V11" s="57" t="inlineStr">
        <is>
          <t>O2</t>
        </is>
      </c>
      <c r="W11" s="57" t="inlineStr">
        <is>
          <t>O3</t>
        </is>
      </c>
      <c r="X11" s="57" t="inlineStr">
        <is>
          <t>M1</t>
        </is>
      </c>
      <c r="Y11" s="57" t="inlineStr">
        <is>
          <t>M2</t>
        </is>
      </c>
      <c r="Z11" s="57" t="inlineStr">
        <is>
          <t>A1</t>
        </is>
      </c>
      <c r="AA11" s="57" t="inlineStr">
        <is>
          <t>STN1</t>
        </is>
      </c>
      <c r="AB11" s="57" t="inlineStr">
        <is>
          <t>N2</t>
        </is>
      </c>
      <c r="AC11" s="57" t="inlineStr">
        <is>
          <t>O1</t>
        </is>
      </c>
      <c r="AD11" s="57" t="inlineStr">
        <is>
          <t>O2</t>
        </is>
      </c>
      <c r="AE11" s="57" t="inlineStr">
        <is>
          <t>O3</t>
        </is>
      </c>
      <c r="AF11" s="57" t="inlineStr">
        <is>
          <t>M1</t>
        </is>
      </c>
      <c r="AG11" s="57" t="inlineStr">
        <is>
          <t>M2</t>
        </is>
      </c>
      <c r="AH11" s="57" t="inlineStr">
        <is>
          <t>A1</t>
        </is>
      </c>
      <c r="AI11" s="25" t="inlineStr">
        <is>
          <t>N1</t>
        </is>
      </c>
      <c r="AJ11" s="19" t="n"/>
      <c r="AL11" s="56">
        <f>COUNTIF($F11:$AJ11,"ST*")</f>
        <v/>
      </c>
      <c r="AM11" s="56">
        <f>COUNTIF($F11:$AJ11,"M*")</f>
        <v/>
      </c>
      <c r="AN11" s="56">
        <f>COUNTIF($F11:$AJ11,"A*")</f>
        <v/>
      </c>
      <c r="AO11" s="56">
        <f>COUNTIF($F11:$AJ11,"N*")</f>
        <v/>
      </c>
      <c r="AP11" s="56">
        <f>COUNTIF($F11:$AJ11,"O*")</f>
        <v/>
      </c>
    </row>
    <row r="12" ht="18.75" customHeight="1" s="6">
      <c r="B12" s="37" t="n">
        <v>8</v>
      </c>
      <c r="C12" s="104" t="inlineStr">
        <is>
          <t>82410 Said Al Sadi</t>
        </is>
      </c>
      <c r="D12" s="134" t="n"/>
      <c r="F12" s="57" t="inlineStr">
        <is>
          <t>O1</t>
        </is>
      </c>
      <c r="G12" s="57" t="inlineStr">
        <is>
          <t>STM1</t>
        </is>
      </c>
      <c r="H12" s="57" t="inlineStr">
        <is>
          <t>M2</t>
        </is>
      </c>
      <c r="I12" s="57" t="inlineStr">
        <is>
          <t>A1</t>
        </is>
      </c>
      <c r="J12" s="57" t="inlineStr">
        <is>
          <t>STN1</t>
        </is>
      </c>
      <c r="K12" s="57" t="inlineStr">
        <is>
          <t>N2</t>
        </is>
      </c>
      <c r="L12" s="57" t="inlineStr">
        <is>
          <t>O1</t>
        </is>
      </c>
      <c r="M12" s="57" t="inlineStr">
        <is>
          <t>O2</t>
        </is>
      </c>
      <c r="N12" s="57" t="inlineStr">
        <is>
          <t>O3</t>
        </is>
      </c>
      <c r="O12" s="57" t="inlineStr">
        <is>
          <t>STM1</t>
        </is>
      </c>
      <c r="P12" s="57" t="inlineStr">
        <is>
          <t>M2</t>
        </is>
      </c>
      <c r="Q12" s="57" t="inlineStr">
        <is>
          <t>M3</t>
        </is>
      </c>
      <c r="R12" s="57" t="inlineStr">
        <is>
          <t>STA1</t>
        </is>
      </c>
      <c r="S12" s="57" t="inlineStr">
        <is>
          <t>N1</t>
        </is>
      </c>
      <c r="T12" s="57" t="inlineStr">
        <is>
          <t>O1</t>
        </is>
      </c>
      <c r="U12" s="57" t="inlineStr">
        <is>
          <t>O2</t>
        </is>
      </c>
      <c r="V12" s="57" t="inlineStr">
        <is>
          <t>O3</t>
        </is>
      </c>
      <c r="W12" s="57" t="inlineStr">
        <is>
          <t>M1</t>
        </is>
      </c>
      <c r="X12" s="57" t="inlineStr">
        <is>
          <t>M2</t>
        </is>
      </c>
      <c r="Y12" s="57" t="inlineStr">
        <is>
          <t>A1</t>
        </is>
      </c>
      <c r="Z12" s="57" t="inlineStr">
        <is>
          <t>STN1</t>
        </is>
      </c>
      <c r="AA12" s="57" t="inlineStr">
        <is>
          <t>N2</t>
        </is>
      </c>
      <c r="AB12" s="57" t="inlineStr">
        <is>
          <t>O1</t>
        </is>
      </c>
      <c r="AC12" s="57" t="inlineStr">
        <is>
          <t>O2</t>
        </is>
      </c>
      <c r="AD12" s="57" t="inlineStr">
        <is>
          <t>O3</t>
        </is>
      </c>
      <c r="AE12" s="57" t="inlineStr">
        <is>
          <t>STM1</t>
        </is>
      </c>
      <c r="AF12" s="57" t="inlineStr">
        <is>
          <t>M2</t>
        </is>
      </c>
      <c r="AG12" s="57" t="inlineStr">
        <is>
          <t>A1</t>
        </is>
      </c>
      <c r="AH12" s="57" t="inlineStr">
        <is>
          <t>STN1</t>
        </is>
      </c>
      <c r="AI12" s="25" t="inlineStr">
        <is>
          <t>N2</t>
        </is>
      </c>
      <c r="AJ12" s="19" t="n"/>
      <c r="AL12" s="56">
        <f>COUNTIF($F12:$AJ12,"ST*")</f>
        <v/>
      </c>
      <c r="AM12" s="56">
        <f>COUNTIF($F12:$AJ12,"M*")</f>
        <v/>
      </c>
      <c r="AN12" s="56">
        <f>COUNTIF($F12:$AJ12,"A*")</f>
        <v/>
      </c>
      <c r="AO12" s="56">
        <f>COUNTIF($F12:$AJ12,"N*")</f>
        <v/>
      </c>
      <c r="AP12" s="56">
        <f>COUNTIF($F12:$AJ12,"O*")</f>
        <v/>
      </c>
    </row>
    <row r="13" ht="18.75" customHeight="1" s="6">
      <c r="B13" s="37" t="n">
        <v>9</v>
      </c>
      <c r="C13" s="104" t="inlineStr">
        <is>
          <t>82415 Ahmed Al Balushi</t>
        </is>
      </c>
      <c r="D13" s="134" t="n"/>
      <c r="F13" s="57" t="inlineStr">
        <is>
          <t>M1</t>
        </is>
      </c>
      <c r="G13" s="57" t="inlineStr">
        <is>
          <t>M2</t>
        </is>
      </c>
      <c r="H13" s="57" t="inlineStr">
        <is>
          <t>STA1</t>
        </is>
      </c>
      <c r="I13" s="57" t="inlineStr">
        <is>
          <t>A2</t>
        </is>
      </c>
      <c r="J13" s="57" t="inlineStr">
        <is>
          <t>STN1</t>
        </is>
      </c>
      <c r="K13" s="57" t="inlineStr">
        <is>
          <t>O1</t>
        </is>
      </c>
      <c r="L13" s="57" t="inlineStr">
        <is>
          <t>O2</t>
        </is>
      </c>
      <c r="M13" s="57" t="inlineStr">
        <is>
          <t>O3</t>
        </is>
      </c>
      <c r="N13" s="57" t="inlineStr">
        <is>
          <t>M1</t>
        </is>
      </c>
      <c r="O13" s="57" t="inlineStr">
        <is>
          <t>M2</t>
        </is>
      </c>
      <c r="P13" s="57" t="inlineStr">
        <is>
          <t>STA1</t>
        </is>
      </c>
      <c r="Q13" s="57" t="inlineStr">
        <is>
          <t>A2</t>
        </is>
      </c>
      <c r="R13" s="57" t="inlineStr">
        <is>
          <t>N1</t>
        </is>
      </c>
      <c r="S13" s="57" t="inlineStr">
        <is>
          <t>O1</t>
        </is>
      </c>
      <c r="T13" s="57" t="inlineStr">
        <is>
          <t>O2</t>
        </is>
      </c>
      <c r="U13" s="57" t="inlineStr">
        <is>
          <t>O3</t>
        </is>
      </c>
      <c r="V13" s="57" t="inlineStr">
        <is>
          <t>M1</t>
        </is>
      </c>
      <c r="W13" s="57" t="inlineStr">
        <is>
          <t>M2</t>
        </is>
      </c>
      <c r="X13" s="57" t="inlineStr">
        <is>
          <t>STA1</t>
        </is>
      </c>
      <c r="Y13" s="57" t="inlineStr">
        <is>
          <t>STN1</t>
        </is>
      </c>
      <c r="Z13" s="57" t="inlineStr">
        <is>
          <t>N2</t>
        </is>
      </c>
      <c r="AA13" s="57" t="inlineStr">
        <is>
          <t>O1</t>
        </is>
      </c>
      <c r="AB13" s="57" t="inlineStr">
        <is>
          <t>O2</t>
        </is>
      </c>
      <c r="AC13" s="57" t="inlineStr">
        <is>
          <t>O3</t>
        </is>
      </c>
      <c r="AD13" s="57" t="inlineStr">
        <is>
          <t>M1</t>
        </is>
      </c>
      <c r="AE13" s="57" t="inlineStr">
        <is>
          <t>M2</t>
        </is>
      </c>
      <c r="AF13" s="57" t="inlineStr">
        <is>
          <t>STA1</t>
        </is>
      </c>
      <c r="AG13" s="57" t="inlineStr">
        <is>
          <t>STN1</t>
        </is>
      </c>
      <c r="AH13" s="57" t="inlineStr">
        <is>
          <t>N2</t>
        </is>
      </c>
      <c r="AI13" s="25" t="inlineStr">
        <is>
          <t>O1</t>
        </is>
      </c>
      <c r="AJ13" s="19" t="n"/>
      <c r="AL13" s="56">
        <f>COUNTIF($F13:$AJ13,"ST*")</f>
        <v/>
      </c>
      <c r="AM13" s="56">
        <f>COUNTIF($F13:$AJ13,"M*")</f>
        <v/>
      </c>
      <c r="AN13" s="56">
        <f>COUNTIF($F13:$AJ13,"A*")</f>
        <v/>
      </c>
      <c r="AO13" s="56">
        <f>COUNTIF($F13:$AJ13,"N*")</f>
        <v/>
      </c>
      <c r="AP13" s="56">
        <f>COUNTIF($F13:$AJ13,"O*")</f>
        <v/>
      </c>
    </row>
    <row r="14" ht="18.75" customHeight="1" s="6">
      <c r="B14" s="37" t="n">
        <v>10</v>
      </c>
      <c r="C14" s="104" t="inlineStr">
        <is>
          <t>82571 Yaarab Al Raqadi</t>
        </is>
      </c>
      <c r="D14" s="134" t="n"/>
      <c r="F14" s="57" t="inlineStr">
        <is>
          <t>O1</t>
        </is>
      </c>
      <c r="G14" s="57" t="inlineStr">
        <is>
          <t>STA1</t>
        </is>
      </c>
      <c r="H14" s="57" t="inlineStr">
        <is>
          <t>A2</t>
        </is>
      </c>
      <c r="I14" s="57" t="inlineStr">
        <is>
          <t>N1</t>
        </is>
      </c>
      <c r="J14" s="57" t="inlineStr">
        <is>
          <t>O1</t>
        </is>
      </c>
      <c r="K14" s="57" t="inlineStr">
        <is>
          <t>O2</t>
        </is>
      </c>
      <c r="L14" s="57" t="inlineStr">
        <is>
          <t>O3</t>
        </is>
      </c>
      <c r="M14" s="57" t="inlineStr">
        <is>
          <t>M1</t>
        </is>
      </c>
      <c r="N14" s="57" t="inlineStr">
        <is>
          <t>M2</t>
        </is>
      </c>
      <c r="O14" s="57" t="inlineStr">
        <is>
          <t>STA1</t>
        </is>
      </c>
      <c r="P14" s="57" t="inlineStr">
        <is>
          <t>A2</t>
        </is>
      </c>
      <c r="Q14" s="57" t="inlineStr">
        <is>
          <t>N1</t>
        </is>
      </c>
      <c r="R14" s="57" t="inlineStr">
        <is>
          <t>O1</t>
        </is>
      </c>
      <c r="S14" s="57" t="inlineStr">
        <is>
          <t>O2</t>
        </is>
      </c>
      <c r="T14" s="57" t="inlineStr">
        <is>
          <t>O3</t>
        </is>
      </c>
      <c r="U14" s="57" t="inlineStr">
        <is>
          <t>M1</t>
        </is>
      </c>
      <c r="V14" s="57" t="inlineStr">
        <is>
          <t>M2</t>
        </is>
      </c>
      <c r="W14" s="57" t="inlineStr">
        <is>
          <t>STA1</t>
        </is>
      </c>
      <c r="X14" s="57" t="inlineStr">
        <is>
          <t>A2</t>
        </is>
      </c>
      <c r="Y14" s="57" t="inlineStr">
        <is>
          <t>N1</t>
        </is>
      </c>
      <c r="Z14" s="57" t="inlineStr">
        <is>
          <t>O1</t>
        </is>
      </c>
      <c r="AA14" s="57" t="inlineStr">
        <is>
          <t>O2</t>
        </is>
      </c>
      <c r="AB14" s="57" t="inlineStr">
        <is>
          <t>O3</t>
        </is>
      </c>
      <c r="AC14" s="57" t="inlineStr">
        <is>
          <t>M1</t>
        </is>
      </c>
      <c r="AD14" s="57" t="inlineStr">
        <is>
          <t>M2</t>
        </is>
      </c>
      <c r="AE14" s="57" t="inlineStr">
        <is>
          <t>STA1</t>
        </is>
      </c>
      <c r="AF14" s="57" t="inlineStr">
        <is>
          <t>A2</t>
        </is>
      </c>
      <c r="AG14" s="57" t="inlineStr">
        <is>
          <t>N1</t>
        </is>
      </c>
      <c r="AH14" s="57" t="inlineStr">
        <is>
          <t>O1</t>
        </is>
      </c>
      <c r="AI14" s="25" t="inlineStr">
        <is>
          <t>O2</t>
        </is>
      </c>
      <c r="AJ14" s="19" t="n"/>
      <c r="AL14" s="56">
        <f>COUNTIF($F14:$AJ14,"ST*")</f>
        <v/>
      </c>
      <c r="AM14" s="56">
        <f>COUNTIF($F14:$AJ14,"M*")</f>
        <v/>
      </c>
      <c r="AN14" s="56">
        <f>COUNTIF($F14:$AJ14,"A*")</f>
        <v/>
      </c>
      <c r="AO14" s="56">
        <f>COUNTIF($F14:$AJ14,"N*")</f>
        <v/>
      </c>
      <c r="AP14" s="56">
        <f>COUNTIF($F14:$AJ14,"O*")</f>
        <v/>
      </c>
    </row>
    <row r="15" ht="18.75" customHeight="1" s="6">
      <c r="B15" s="37" t="n">
        <v>11</v>
      </c>
      <c r="C15" s="104" t="inlineStr">
        <is>
          <t>82428 Abdullah Al Maharbi</t>
        </is>
      </c>
      <c r="D15" s="134" t="n"/>
      <c r="F15" s="57" t="inlineStr">
        <is>
          <t>M1</t>
        </is>
      </c>
      <c r="G15" s="57" t="inlineStr">
        <is>
          <t>A2</t>
        </is>
      </c>
      <c r="H15" s="57" t="inlineStr">
        <is>
          <t>N1</t>
        </is>
      </c>
      <c r="I15" s="57" t="inlineStr">
        <is>
          <t>O1</t>
        </is>
      </c>
      <c r="J15" s="57" t="inlineStr">
        <is>
          <t>O2</t>
        </is>
      </c>
      <c r="K15" s="57" t="inlineStr">
        <is>
          <t>O3</t>
        </is>
      </c>
      <c r="L15" s="57" t="inlineStr">
        <is>
          <t>M1</t>
        </is>
      </c>
      <c r="M15" s="57" t="inlineStr">
        <is>
          <t>M2</t>
        </is>
      </c>
      <c r="N15" s="57" t="inlineStr">
        <is>
          <t>A1</t>
        </is>
      </c>
      <c r="O15" s="57" t="inlineStr">
        <is>
          <t>A2</t>
        </is>
      </c>
      <c r="P15" s="57" t="inlineStr">
        <is>
          <t>N1</t>
        </is>
      </c>
      <c r="Q15" s="57" t="inlineStr">
        <is>
          <t>O1</t>
        </is>
      </c>
      <c r="R15" s="57" t="inlineStr">
        <is>
          <t>O2</t>
        </is>
      </c>
      <c r="S15" s="57" t="inlineStr">
        <is>
          <t>O3</t>
        </is>
      </c>
      <c r="T15" s="57" t="inlineStr">
        <is>
          <t>M1</t>
        </is>
      </c>
      <c r="U15" s="57" t="inlineStr">
        <is>
          <t>M2</t>
        </is>
      </c>
      <c r="V15" s="57" t="inlineStr">
        <is>
          <t>A1</t>
        </is>
      </c>
      <c r="W15" s="57" t="inlineStr">
        <is>
          <t>A2</t>
        </is>
      </c>
      <c r="X15" s="57" t="inlineStr">
        <is>
          <t>N1</t>
        </is>
      </c>
      <c r="Y15" s="57" t="inlineStr">
        <is>
          <t>O1</t>
        </is>
      </c>
      <c r="Z15" s="57" t="inlineStr">
        <is>
          <t>O2</t>
        </is>
      </c>
      <c r="AA15" s="57" t="inlineStr">
        <is>
          <t>O3</t>
        </is>
      </c>
      <c r="AB15" s="57" t="inlineStr">
        <is>
          <t>M1</t>
        </is>
      </c>
      <c r="AC15" s="57" t="inlineStr">
        <is>
          <t>M2</t>
        </is>
      </c>
      <c r="AD15" s="57" t="inlineStr">
        <is>
          <t>A1</t>
        </is>
      </c>
      <c r="AE15" s="57" t="inlineStr">
        <is>
          <t>A2</t>
        </is>
      </c>
      <c r="AF15" s="57" t="inlineStr">
        <is>
          <t>N1</t>
        </is>
      </c>
      <c r="AG15" s="57" t="inlineStr">
        <is>
          <t>O1</t>
        </is>
      </c>
      <c r="AH15" s="57" t="inlineStr">
        <is>
          <t>O2</t>
        </is>
      </c>
      <c r="AI15" s="25" t="inlineStr">
        <is>
          <t>O3</t>
        </is>
      </c>
      <c r="AJ15" s="19" t="n"/>
      <c r="AL15" s="56">
        <f>COUNTIF($F15:$AJ15,"ST*")</f>
        <v/>
      </c>
      <c r="AM15" s="56">
        <f>COUNTIF($F15:$AJ15,"M*")</f>
        <v/>
      </c>
      <c r="AN15" s="56">
        <f>COUNTIF($F15:$AJ15,"A*")</f>
        <v/>
      </c>
      <c r="AO15" s="56">
        <f>COUNTIF($F15:$AJ15,"N*")</f>
        <v/>
      </c>
      <c r="AP15" s="56">
        <f>COUNTIF($F15:$AJ15,"O*")</f>
        <v/>
      </c>
    </row>
    <row r="16" ht="18.75" customHeight="1" s="6">
      <c r="B16" s="37" t="n">
        <v>12</v>
      </c>
      <c r="C16" s="104" t="inlineStr">
        <is>
          <t>80479 Sami Al Hadabi</t>
        </is>
      </c>
      <c r="D16" s="134" t="n"/>
      <c r="F16" s="57" t="inlineStr">
        <is>
          <t>N1</t>
        </is>
      </c>
      <c r="G16" s="57" t="inlineStr">
        <is>
          <t>N2</t>
        </is>
      </c>
      <c r="H16" s="57" t="inlineStr">
        <is>
          <t>O1</t>
        </is>
      </c>
      <c r="I16" s="57" t="inlineStr">
        <is>
          <t>O2</t>
        </is>
      </c>
      <c r="J16" s="57" t="inlineStr">
        <is>
          <t>O3</t>
        </is>
      </c>
      <c r="K16" s="57" t="inlineStr">
        <is>
          <t>M1</t>
        </is>
      </c>
      <c r="L16" s="57" t="inlineStr">
        <is>
          <t>M2</t>
        </is>
      </c>
      <c r="M16" s="57" t="inlineStr">
        <is>
          <t>A1</t>
        </is>
      </c>
      <c r="N16" s="57" t="inlineStr">
        <is>
          <t>STN1</t>
        </is>
      </c>
      <c r="O16" s="57" t="inlineStr">
        <is>
          <t>N2</t>
        </is>
      </c>
      <c r="P16" s="57" t="inlineStr">
        <is>
          <t>O1</t>
        </is>
      </c>
      <c r="Q16" s="57" t="inlineStr">
        <is>
          <t>O2</t>
        </is>
      </c>
      <c r="R16" s="57" t="inlineStr">
        <is>
          <t>O3</t>
        </is>
      </c>
      <c r="S16" s="57" t="inlineStr">
        <is>
          <t>M1</t>
        </is>
      </c>
      <c r="T16" s="57" t="inlineStr">
        <is>
          <t>M2</t>
        </is>
      </c>
      <c r="U16" s="57" t="inlineStr">
        <is>
          <t>A1</t>
        </is>
      </c>
      <c r="V16" s="57" t="inlineStr">
        <is>
          <t>N1</t>
        </is>
      </c>
      <c r="W16" s="57" t="inlineStr">
        <is>
          <t>N2</t>
        </is>
      </c>
      <c r="X16" s="57" t="inlineStr">
        <is>
          <t>O1</t>
        </is>
      </c>
      <c r="Y16" s="57" t="inlineStr">
        <is>
          <t>O2</t>
        </is>
      </c>
      <c r="Z16" s="57" t="inlineStr">
        <is>
          <t>O3</t>
        </is>
      </c>
      <c r="AA16" s="57" t="inlineStr">
        <is>
          <t>M1</t>
        </is>
      </c>
      <c r="AB16" s="57" t="inlineStr">
        <is>
          <t>M2</t>
        </is>
      </c>
      <c r="AC16" s="57" t="inlineStr">
        <is>
          <t>A1</t>
        </is>
      </c>
      <c r="AD16" s="57" t="inlineStr">
        <is>
          <t>N1</t>
        </is>
      </c>
      <c r="AE16" s="57" t="inlineStr">
        <is>
          <t>N2</t>
        </is>
      </c>
      <c r="AF16" s="57" t="inlineStr">
        <is>
          <t>O1</t>
        </is>
      </c>
      <c r="AG16" s="57" t="inlineStr">
        <is>
          <t>O2</t>
        </is>
      </c>
      <c r="AH16" s="57" t="inlineStr">
        <is>
          <t>O3</t>
        </is>
      </c>
      <c r="AI16" s="25" t="inlineStr">
        <is>
          <t>M1</t>
        </is>
      </c>
      <c r="AJ16" s="19" t="n"/>
      <c r="AL16" s="56">
        <f>COUNTIF($F16:$AJ16,"ST*")</f>
        <v/>
      </c>
      <c r="AM16" s="56">
        <f>COUNTIF($F16:$AJ16,"M*")</f>
        <v/>
      </c>
      <c r="AN16" s="56">
        <f>COUNTIF($F16:$AJ16,"A*")</f>
        <v/>
      </c>
      <c r="AO16" s="56">
        <f>COUNTIF($F16:$AJ16,"N*")</f>
        <v/>
      </c>
      <c r="AP16" s="56">
        <f>COUNTIF($F16:$AJ16,"O*")</f>
        <v/>
      </c>
    </row>
    <row r="17" ht="18.75" customHeight="1" s="6">
      <c r="B17" s="37" t="n">
        <v>13</v>
      </c>
      <c r="C17" s="104" t="inlineStr">
        <is>
          <t>82566 Anwar Al Amri</t>
        </is>
      </c>
      <c r="D17" s="134" t="n"/>
      <c r="F17" s="57" t="inlineStr">
        <is>
          <t>O</t>
        </is>
      </c>
      <c r="G17" s="57" t="inlineStr">
        <is>
          <t>O1</t>
        </is>
      </c>
      <c r="H17" s="57" t="inlineStr">
        <is>
          <t>O2</t>
        </is>
      </c>
      <c r="I17" s="57" t="inlineStr">
        <is>
          <t>O3</t>
        </is>
      </c>
      <c r="J17" s="57" t="inlineStr">
        <is>
          <t>M1</t>
        </is>
      </c>
      <c r="K17" s="57" t="inlineStr">
        <is>
          <t>M2</t>
        </is>
      </c>
      <c r="L17" s="57" t="inlineStr">
        <is>
          <t>A1</t>
        </is>
      </c>
      <c r="M17" s="57" t="inlineStr">
        <is>
          <t>STN1</t>
        </is>
      </c>
      <c r="N17" s="57" t="inlineStr">
        <is>
          <t>N2</t>
        </is>
      </c>
      <c r="O17" s="57" t="inlineStr">
        <is>
          <t>O1</t>
        </is>
      </c>
      <c r="P17" s="57" t="inlineStr">
        <is>
          <t>O2</t>
        </is>
      </c>
      <c r="Q17" s="57" t="inlineStr">
        <is>
          <t>O3</t>
        </is>
      </c>
      <c r="R17" s="57" t="inlineStr">
        <is>
          <t>M1</t>
        </is>
      </c>
      <c r="S17" s="57" t="inlineStr">
        <is>
          <t>M2</t>
        </is>
      </c>
      <c r="T17" s="57" t="inlineStr">
        <is>
          <t>A1</t>
        </is>
      </c>
      <c r="U17" s="57" t="inlineStr">
        <is>
          <t>STN1</t>
        </is>
      </c>
      <c r="V17" s="57" t="inlineStr">
        <is>
          <t>N2</t>
        </is>
      </c>
      <c r="W17" s="57" t="inlineStr">
        <is>
          <t>O1</t>
        </is>
      </c>
      <c r="X17" s="57" t="inlineStr">
        <is>
          <t>O2</t>
        </is>
      </c>
      <c r="Y17" s="57" t="inlineStr">
        <is>
          <t>O3</t>
        </is>
      </c>
      <c r="Z17" s="57" t="inlineStr">
        <is>
          <t>M1</t>
        </is>
      </c>
      <c r="AA17" s="57" t="inlineStr">
        <is>
          <t>M2</t>
        </is>
      </c>
      <c r="AB17" s="57" t="inlineStr">
        <is>
          <t>A1</t>
        </is>
      </c>
      <c r="AC17" s="57" t="inlineStr">
        <is>
          <t>N1</t>
        </is>
      </c>
      <c r="AD17" s="57" t="inlineStr">
        <is>
          <t>N2</t>
        </is>
      </c>
      <c r="AE17" s="57" t="inlineStr">
        <is>
          <t>O1</t>
        </is>
      </c>
      <c r="AF17" s="57" t="inlineStr">
        <is>
          <t>O2</t>
        </is>
      </c>
      <c r="AG17" s="57" t="inlineStr">
        <is>
          <t>O3</t>
        </is>
      </c>
      <c r="AH17" s="57" t="inlineStr">
        <is>
          <t>M1</t>
        </is>
      </c>
      <c r="AI17" s="25" t="inlineStr">
        <is>
          <t>M2</t>
        </is>
      </c>
      <c r="AJ17" s="19" t="n"/>
      <c r="AL17" s="56">
        <f>COUNTIF($F17:$AJ17,"ST*")</f>
        <v/>
      </c>
      <c r="AM17" s="56">
        <f>COUNTIF($F17:$AJ17,"M*")</f>
        <v/>
      </c>
      <c r="AN17" s="56">
        <f>COUNTIF($F17:$AJ17,"A*")</f>
        <v/>
      </c>
      <c r="AO17" s="56">
        <f>COUNTIF($F17:$AJ17,"N*")</f>
        <v/>
      </c>
      <c r="AP17" s="56">
        <f>COUNTIF($F17:$AJ17,"O*")</f>
        <v/>
      </c>
    </row>
    <row r="18" ht="18.75" customHeight="1" s="6">
      <c r="B18" s="37" t="n">
        <v>14</v>
      </c>
      <c r="C18" s="104" t="inlineStr">
        <is>
          <t>82425 Ali Al Shamsi</t>
        </is>
      </c>
      <c r="D18" s="134" t="n"/>
      <c r="F18" s="57" t="inlineStr">
        <is>
          <t>O1</t>
        </is>
      </c>
      <c r="G18" s="57" t="inlineStr">
        <is>
          <t>O2</t>
        </is>
      </c>
      <c r="H18" s="57" t="inlineStr">
        <is>
          <t>O3</t>
        </is>
      </c>
      <c r="I18" s="57" t="inlineStr">
        <is>
          <t>M1</t>
        </is>
      </c>
      <c r="J18" s="57" t="inlineStr">
        <is>
          <t>M2</t>
        </is>
      </c>
      <c r="K18" s="57" t="inlineStr">
        <is>
          <t>A1</t>
        </is>
      </c>
      <c r="L18" s="57" t="inlineStr">
        <is>
          <t>STN1</t>
        </is>
      </c>
      <c r="M18" s="57" t="inlineStr">
        <is>
          <t>N2</t>
        </is>
      </c>
      <c r="N18" s="57" t="inlineStr">
        <is>
          <t>O1</t>
        </is>
      </c>
      <c r="O18" s="57" t="inlineStr">
        <is>
          <t>O2</t>
        </is>
      </c>
      <c r="P18" s="57" t="inlineStr">
        <is>
          <t>O3</t>
        </is>
      </c>
      <c r="Q18" s="57" t="inlineStr">
        <is>
          <t>M1</t>
        </is>
      </c>
      <c r="R18" s="57" t="inlineStr">
        <is>
          <t>M2</t>
        </is>
      </c>
      <c r="S18" s="57" t="inlineStr">
        <is>
          <t>A1</t>
        </is>
      </c>
      <c r="T18" s="57" t="inlineStr">
        <is>
          <t>STN1</t>
        </is>
      </c>
      <c r="U18" s="57" t="inlineStr">
        <is>
          <t>N2</t>
        </is>
      </c>
      <c r="V18" s="57" t="inlineStr">
        <is>
          <t>O1</t>
        </is>
      </c>
      <c r="W18" s="57" t="inlineStr">
        <is>
          <t>O2</t>
        </is>
      </c>
      <c r="X18" s="57" t="inlineStr">
        <is>
          <t>O3</t>
        </is>
      </c>
      <c r="Y18" s="57" t="inlineStr">
        <is>
          <t>M1</t>
        </is>
      </c>
      <c r="Z18" s="57" t="inlineStr">
        <is>
          <t>M2</t>
        </is>
      </c>
      <c r="AA18" s="57" t="inlineStr">
        <is>
          <t>A1</t>
        </is>
      </c>
      <c r="AB18" s="57" t="inlineStr">
        <is>
          <t>N1</t>
        </is>
      </c>
      <c r="AC18" s="57" t="inlineStr">
        <is>
          <t>N2</t>
        </is>
      </c>
      <c r="AD18" s="57" t="inlineStr">
        <is>
          <t>O1</t>
        </is>
      </c>
      <c r="AE18" s="57" t="inlineStr">
        <is>
          <t>O2</t>
        </is>
      </c>
      <c r="AF18" s="57" t="inlineStr">
        <is>
          <t>O3</t>
        </is>
      </c>
      <c r="AG18" s="57" t="inlineStr">
        <is>
          <t>M1</t>
        </is>
      </c>
      <c r="AH18" s="57" t="inlineStr">
        <is>
          <t>M2</t>
        </is>
      </c>
      <c r="AI18" s="25" t="inlineStr">
        <is>
          <t>A1</t>
        </is>
      </c>
      <c r="AJ18" s="19" t="n"/>
      <c r="AL18" s="56">
        <f>COUNTIF($F18:$AJ18,"ST*")</f>
        <v/>
      </c>
      <c r="AM18" s="56">
        <f>COUNTIF($F18:$AJ18,"M*")</f>
        <v/>
      </c>
      <c r="AN18" s="56">
        <f>COUNTIF($F18:$AJ18,"A*")</f>
        <v/>
      </c>
      <c r="AO18" s="56">
        <f>COUNTIF($F18:$AJ18,"N*")</f>
        <v/>
      </c>
      <c r="AP18" s="56">
        <f>COUNTIF($F18:$AJ18,"O*")</f>
        <v/>
      </c>
    </row>
    <row r="19" ht="18.75" customHeight="1" s="6">
      <c r="B19" s="37" t="n">
        <v>15</v>
      </c>
      <c r="C19" s="104" t="inlineStr">
        <is>
          <t>82331 Ismail Al Maharbi</t>
        </is>
      </c>
      <c r="D19" s="134" t="n"/>
      <c r="F19" s="57" t="inlineStr">
        <is>
          <t>O2</t>
        </is>
      </c>
      <c r="G19" s="57" t="inlineStr">
        <is>
          <t>O3</t>
        </is>
      </c>
      <c r="H19" s="57" t="inlineStr">
        <is>
          <t>M1</t>
        </is>
      </c>
      <c r="I19" s="57" t="inlineStr">
        <is>
          <t>M2</t>
        </is>
      </c>
      <c r="J19" s="57" t="inlineStr">
        <is>
          <t>A1</t>
        </is>
      </c>
      <c r="K19" s="57" t="inlineStr">
        <is>
          <t>STN1</t>
        </is>
      </c>
      <c r="L19" s="57" t="inlineStr">
        <is>
          <t>N2</t>
        </is>
      </c>
      <c r="M19" s="57" t="inlineStr">
        <is>
          <t>O1</t>
        </is>
      </c>
      <c r="N19" s="57" t="inlineStr">
        <is>
          <t>O2</t>
        </is>
      </c>
      <c r="O19" s="57" t="inlineStr">
        <is>
          <t>O3</t>
        </is>
      </c>
      <c r="P19" s="57" t="inlineStr">
        <is>
          <t>M1</t>
        </is>
      </c>
      <c r="Q19" s="57" t="inlineStr">
        <is>
          <t>M2</t>
        </is>
      </c>
      <c r="R19" s="57" t="inlineStr">
        <is>
          <t>A1</t>
        </is>
      </c>
      <c r="S19" s="57" t="inlineStr">
        <is>
          <t>STN1</t>
        </is>
      </c>
      <c r="T19" s="57" t="inlineStr">
        <is>
          <t>N2</t>
        </is>
      </c>
      <c r="U19" s="57" t="inlineStr">
        <is>
          <t>O1</t>
        </is>
      </c>
      <c r="V19" s="57" t="inlineStr">
        <is>
          <t>O2</t>
        </is>
      </c>
      <c r="W19" s="57" t="inlineStr">
        <is>
          <t>O3</t>
        </is>
      </c>
      <c r="X19" s="57" t="inlineStr">
        <is>
          <t>M1</t>
        </is>
      </c>
      <c r="Y19" s="57" t="inlineStr">
        <is>
          <t>M2</t>
        </is>
      </c>
      <c r="Z19" s="57" t="inlineStr">
        <is>
          <t>A1</t>
        </is>
      </c>
      <c r="AA19" s="57" t="inlineStr">
        <is>
          <t>N1</t>
        </is>
      </c>
      <c r="AB19" s="57" t="inlineStr">
        <is>
          <t>N2</t>
        </is>
      </c>
      <c r="AC19" s="57" t="inlineStr">
        <is>
          <t>O1</t>
        </is>
      </c>
      <c r="AD19" s="57" t="inlineStr">
        <is>
          <t>O2</t>
        </is>
      </c>
      <c r="AE19" s="57" t="inlineStr">
        <is>
          <t>O3</t>
        </is>
      </c>
      <c r="AF19" s="57" t="inlineStr">
        <is>
          <t>M1</t>
        </is>
      </c>
      <c r="AG19" s="57" t="inlineStr">
        <is>
          <t>M2</t>
        </is>
      </c>
      <c r="AH19" s="57" t="inlineStr">
        <is>
          <t>A1</t>
        </is>
      </c>
      <c r="AI19" s="25" t="inlineStr">
        <is>
          <t>STN1</t>
        </is>
      </c>
      <c r="AJ19" s="19" t="n"/>
      <c r="AL19" s="56" t="n"/>
      <c r="AM19" s="56" t="n"/>
      <c r="AN19" s="56" t="n"/>
      <c r="AO19" s="56" t="n"/>
      <c r="AP19" s="56" t="n"/>
    </row>
    <row r="20" ht="18.75" customHeight="1" s="6">
      <c r="B20" s="37" t="n">
        <v>16</v>
      </c>
      <c r="C20" s="104" t="inlineStr">
        <is>
          <t>82416 Nasser Al Omairi</t>
        </is>
      </c>
      <c r="D20" s="134" t="n"/>
      <c r="F20" s="57" t="inlineStr">
        <is>
          <t>O1</t>
        </is>
      </c>
      <c r="G20" s="57" t="inlineStr">
        <is>
          <t>M1</t>
        </is>
      </c>
      <c r="H20" s="57" t="inlineStr">
        <is>
          <t>M2</t>
        </is>
      </c>
      <c r="I20" s="57" t="inlineStr">
        <is>
          <t>STA1</t>
        </is>
      </c>
      <c r="J20" s="57" t="inlineStr">
        <is>
          <t>N1</t>
        </is>
      </c>
      <c r="K20" s="57" t="inlineStr">
        <is>
          <t>N2</t>
        </is>
      </c>
      <c r="L20" s="57" t="inlineStr">
        <is>
          <t>O1</t>
        </is>
      </c>
      <c r="M20" s="57" t="inlineStr">
        <is>
          <t>O2</t>
        </is>
      </c>
      <c r="N20" s="57" t="inlineStr">
        <is>
          <t>O3</t>
        </is>
      </c>
      <c r="O20" s="57" t="inlineStr">
        <is>
          <t>M1</t>
        </is>
      </c>
      <c r="P20" s="57" t="inlineStr">
        <is>
          <t>M2</t>
        </is>
      </c>
      <c r="Q20" s="57" t="inlineStr">
        <is>
          <t>STA1</t>
        </is>
      </c>
      <c r="R20" s="57" t="inlineStr">
        <is>
          <t>A2</t>
        </is>
      </c>
      <c r="S20" s="57" t="inlineStr">
        <is>
          <t>N1</t>
        </is>
      </c>
      <c r="T20" s="57" t="inlineStr">
        <is>
          <t>O1</t>
        </is>
      </c>
      <c r="U20" s="57" t="inlineStr">
        <is>
          <t>O2</t>
        </is>
      </c>
      <c r="V20" s="57" t="inlineStr">
        <is>
          <t>O3</t>
        </is>
      </c>
      <c r="W20" s="57" t="inlineStr">
        <is>
          <t>M1</t>
        </is>
      </c>
      <c r="X20" s="57" t="inlineStr">
        <is>
          <t>M2</t>
        </is>
      </c>
      <c r="Y20" s="57" t="inlineStr">
        <is>
          <t>A1</t>
        </is>
      </c>
      <c r="Z20" s="57" t="inlineStr">
        <is>
          <t>STN1</t>
        </is>
      </c>
      <c r="AA20" s="57" t="inlineStr">
        <is>
          <t>N2</t>
        </is>
      </c>
      <c r="AB20" s="57" t="inlineStr">
        <is>
          <t>O1</t>
        </is>
      </c>
      <c r="AC20" s="57" t="inlineStr">
        <is>
          <t>O2</t>
        </is>
      </c>
      <c r="AD20" s="57" t="inlineStr">
        <is>
          <t>O3</t>
        </is>
      </c>
      <c r="AE20" s="57" t="inlineStr">
        <is>
          <t>M1</t>
        </is>
      </c>
      <c r="AF20" s="57" t="inlineStr">
        <is>
          <t>M2</t>
        </is>
      </c>
      <c r="AG20" s="57" t="inlineStr">
        <is>
          <t>A1</t>
        </is>
      </c>
      <c r="AH20" s="57" t="inlineStr">
        <is>
          <t>STN1</t>
        </is>
      </c>
      <c r="AI20" s="25" t="inlineStr">
        <is>
          <t>N2</t>
        </is>
      </c>
      <c r="AJ20" s="19" t="n"/>
      <c r="AL20" s="56" t="n"/>
      <c r="AM20" s="56" t="n"/>
      <c r="AN20" s="56" t="n"/>
      <c r="AO20" s="56" t="n"/>
      <c r="AP20" s="56" t="n"/>
    </row>
    <row r="21" ht="18.75" customHeight="1" s="6">
      <c r="B21" s="37" t="n">
        <v>17</v>
      </c>
      <c r="C21" s="104" t="inlineStr">
        <is>
          <t>82417 Talal Al Huseini</t>
        </is>
      </c>
      <c r="D21" s="134" t="n"/>
      <c r="F21" s="57" t="inlineStr">
        <is>
          <t>M1</t>
        </is>
      </c>
      <c r="G21" s="57" t="inlineStr">
        <is>
          <t>M2</t>
        </is>
      </c>
      <c r="H21" s="57" t="inlineStr">
        <is>
          <t>A1</t>
        </is>
      </c>
      <c r="I21" s="57" t="inlineStr">
        <is>
          <t>N1</t>
        </is>
      </c>
      <c r="J21" s="57" t="inlineStr">
        <is>
          <t>N2</t>
        </is>
      </c>
      <c r="K21" s="57" t="inlineStr">
        <is>
          <t>O1</t>
        </is>
      </c>
      <c r="L21" s="57" t="inlineStr">
        <is>
          <t>O2</t>
        </is>
      </c>
      <c r="M21" s="57" t="inlineStr">
        <is>
          <t>O3</t>
        </is>
      </c>
      <c r="N21" s="57" t="inlineStr">
        <is>
          <t>M1</t>
        </is>
      </c>
      <c r="O21" s="57" t="inlineStr">
        <is>
          <t>M2</t>
        </is>
      </c>
      <c r="P21" s="57" t="inlineStr">
        <is>
          <t>STA1</t>
        </is>
      </c>
      <c r="Q21" s="57" t="inlineStr">
        <is>
          <t>N1</t>
        </is>
      </c>
      <c r="R21" s="57" t="inlineStr">
        <is>
          <t>N2</t>
        </is>
      </c>
      <c r="S21" s="57" t="inlineStr">
        <is>
          <t>O1</t>
        </is>
      </c>
      <c r="T21" s="57" t="inlineStr">
        <is>
          <t>O2</t>
        </is>
      </c>
      <c r="U21" s="57" t="inlineStr">
        <is>
          <t>O3</t>
        </is>
      </c>
      <c r="V21" s="57" t="inlineStr">
        <is>
          <t>M1</t>
        </is>
      </c>
      <c r="W21" s="57" t="inlineStr">
        <is>
          <t>M2</t>
        </is>
      </c>
      <c r="X21" s="57" t="inlineStr">
        <is>
          <t>STA1</t>
        </is>
      </c>
      <c r="Y21" s="57" t="inlineStr">
        <is>
          <t>STN1</t>
        </is>
      </c>
      <c r="Z21" s="57" t="inlineStr">
        <is>
          <t>N2</t>
        </is>
      </c>
      <c r="AA21" s="57" t="inlineStr">
        <is>
          <t>O1</t>
        </is>
      </c>
      <c r="AB21" s="57" t="inlineStr">
        <is>
          <t>O2</t>
        </is>
      </c>
      <c r="AC21" s="57" t="inlineStr">
        <is>
          <t>O3</t>
        </is>
      </c>
      <c r="AD21" s="57" t="inlineStr">
        <is>
          <t>M1</t>
        </is>
      </c>
      <c r="AE21" s="57" t="inlineStr">
        <is>
          <t>M2</t>
        </is>
      </c>
      <c r="AF21" s="57" t="inlineStr">
        <is>
          <t>STA1</t>
        </is>
      </c>
      <c r="AG21" s="57" t="inlineStr">
        <is>
          <t>N1</t>
        </is>
      </c>
      <c r="AH21" s="57" t="inlineStr">
        <is>
          <t>N2</t>
        </is>
      </c>
      <c r="AI21" s="25" t="inlineStr">
        <is>
          <t>O1</t>
        </is>
      </c>
      <c r="AJ21" s="19" t="n"/>
      <c r="AL21" s="56" t="n"/>
      <c r="AM21" s="56" t="n"/>
      <c r="AN21" s="56" t="n"/>
      <c r="AO21" s="56" t="n"/>
      <c r="AP21" s="56" t="n"/>
    </row>
    <row r="22">
      <c r="F22" s="20" t="inlineStr">
        <is>
          <t xml:space="preserve"> </t>
        </is>
      </c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  <c r="AE22" s="20" t="n"/>
      <c r="AF22" s="20" t="n"/>
      <c r="AG22" s="20" t="n"/>
      <c r="AH22" s="20" t="n"/>
      <c r="AI22" s="20" t="n"/>
    </row>
    <row r="23" ht="18.75" customHeight="1" s="6">
      <c r="C23" s="90" t="inlineStr">
        <is>
          <t xml:space="preserve">Morning Shift </t>
        </is>
      </c>
      <c r="D23" s="134" t="n"/>
      <c r="E23" s="36" t="n"/>
      <c r="F23" s="37">
        <f>COUNTIF(F$5:F$21,"M*")</f>
        <v/>
      </c>
      <c r="G23" s="37">
        <f>COUNTIF(G$5:G$21,"M*")</f>
        <v/>
      </c>
      <c r="H23" s="37">
        <f>COUNTIF(H$5:H$21,"M*")</f>
        <v/>
      </c>
      <c r="I23" s="37">
        <f>COUNTIF(I$5:I$21,"M*")</f>
        <v/>
      </c>
      <c r="J23" s="37">
        <f>COUNTIF(J$5:J$21,"M*")</f>
        <v/>
      </c>
      <c r="K23" s="37">
        <f>COUNTIF(K$5:K$21,"M*")</f>
        <v/>
      </c>
      <c r="L23" s="37">
        <f>COUNTIF(L$5:L$21,"M*")</f>
        <v/>
      </c>
      <c r="M23" s="37">
        <f>COUNTIF(M$5:M$21,"M*")</f>
        <v/>
      </c>
      <c r="N23" s="37">
        <f>COUNTIF(N$5:N$21,"M*")</f>
        <v/>
      </c>
      <c r="O23" s="37">
        <f>COUNTIF(O$5:O$21,"M*")</f>
        <v/>
      </c>
      <c r="P23" s="37">
        <f>COUNTIF(P$5:P$21,"M*")</f>
        <v/>
      </c>
      <c r="Q23" s="37">
        <f>COUNTIF(Q$5:Q$21,"M*")</f>
        <v/>
      </c>
      <c r="R23" s="37">
        <f>COUNTIF(R$5:R$21,"M*")</f>
        <v/>
      </c>
      <c r="S23" s="37">
        <f>COUNTIF(S$5:S$21,"M*")</f>
        <v/>
      </c>
      <c r="T23" s="37">
        <f>COUNTIF(T$5:T$21,"M*")</f>
        <v/>
      </c>
      <c r="U23" s="37">
        <f>COUNTIF(U$5:U$21,"M*")</f>
        <v/>
      </c>
      <c r="V23" s="37">
        <f>COUNTIF(V$5:V$21,"M*")</f>
        <v/>
      </c>
      <c r="W23" s="37">
        <f>COUNTIF(W$5:W$21,"M*")</f>
        <v/>
      </c>
      <c r="X23" s="37">
        <f>COUNTIF(X$5:X$21,"M*")</f>
        <v/>
      </c>
      <c r="Y23" s="37">
        <f>COUNTIF(Y$5:Y$21,"M*")</f>
        <v/>
      </c>
      <c r="Z23" s="37">
        <f>COUNTIF(Z$5:Z$21,"M*")</f>
        <v/>
      </c>
      <c r="AA23" s="37">
        <f>COUNTIF(AA$5:AA$21,"M*")</f>
        <v/>
      </c>
      <c r="AB23" s="37">
        <f>COUNTIF(AB$5:AB$21,"M*")</f>
        <v/>
      </c>
      <c r="AC23" s="37">
        <f>COUNTIF(AC$5:AC$21,"M*")</f>
        <v/>
      </c>
      <c r="AD23" s="37">
        <f>COUNTIF(AD$5:AD$21,"M*")</f>
        <v/>
      </c>
      <c r="AE23" s="37">
        <f>COUNTIF(AE$5:AE$21,"M*")</f>
        <v/>
      </c>
      <c r="AF23" s="37">
        <f>COUNTIF(AF$5:AF$21,"M*")</f>
        <v/>
      </c>
      <c r="AG23" s="37">
        <f>COUNTIF(AG$5:AG$21,"M*")</f>
        <v/>
      </c>
      <c r="AH23" s="37">
        <f>COUNTIF(AH$5:AH$21,"M*")</f>
        <v/>
      </c>
      <c r="AI23" s="37">
        <f>COUNTIF(AI$5:AI$21,"M*")</f>
        <v/>
      </c>
      <c r="AJ23" s="37">
        <f>COUNTIF(AJ$5:AJ$21,"M*")</f>
        <v/>
      </c>
    </row>
    <row r="24" ht="18.75" customHeight="1" s="6">
      <c r="C24" s="90" t="inlineStr">
        <is>
          <t xml:space="preserve">Afternoon Shift </t>
        </is>
      </c>
      <c r="D24" s="134" t="n"/>
      <c r="E24" s="36" t="n"/>
      <c r="F24" s="37">
        <f>COUNTIF(F$5:F$21,"A*")</f>
        <v/>
      </c>
      <c r="G24" s="37">
        <f>COUNTIF(G$5:G$21,"A*")</f>
        <v/>
      </c>
      <c r="H24" s="37">
        <f>COUNTIF(H$5:H$21,"A*")</f>
        <v/>
      </c>
      <c r="I24" s="37">
        <f>COUNTIF(I$5:I$21,"A*")</f>
        <v/>
      </c>
      <c r="J24" s="37">
        <f>COUNTIF(J$5:J$21,"A*")</f>
        <v/>
      </c>
      <c r="K24" s="37">
        <f>COUNTIF(K$5:K$21,"A*")</f>
        <v/>
      </c>
      <c r="L24" s="37">
        <f>COUNTIF(L$5:L$21,"A*")</f>
        <v/>
      </c>
      <c r="M24" s="37">
        <f>COUNTIF(M$5:M$21,"A*")</f>
        <v/>
      </c>
      <c r="N24" s="37">
        <f>COUNTIF(N$5:N$21,"A*")</f>
        <v/>
      </c>
      <c r="O24" s="37">
        <f>COUNTIF(O$5:O$21,"A*")</f>
        <v/>
      </c>
      <c r="P24" s="37">
        <f>COUNTIF(P$5:P$21,"A*")</f>
        <v/>
      </c>
      <c r="Q24" s="37">
        <f>COUNTIF(Q$5:Q$21,"A*")</f>
        <v/>
      </c>
      <c r="R24" s="37">
        <f>COUNTIF(R$5:R$21,"A*")</f>
        <v/>
      </c>
      <c r="S24" s="37">
        <f>COUNTIF(S$5:S$21,"A*")</f>
        <v/>
      </c>
      <c r="T24" s="37">
        <f>COUNTIF(T$5:T$21,"A*")</f>
        <v/>
      </c>
      <c r="U24" s="37">
        <f>COUNTIF(U$5:U$21,"A*")</f>
        <v/>
      </c>
      <c r="V24" s="37">
        <f>COUNTIF(V$5:V$21,"A*")</f>
        <v/>
      </c>
      <c r="W24" s="37">
        <f>COUNTIF(W$5:W$21,"A*")</f>
        <v/>
      </c>
      <c r="X24" s="37">
        <f>COUNTIF(X$5:X$21,"A*")</f>
        <v/>
      </c>
      <c r="Y24" s="37">
        <f>COUNTIF(Y$5:Y$21,"A*")</f>
        <v/>
      </c>
      <c r="Z24" s="37">
        <f>COUNTIF(Z$5:Z$21,"A*")</f>
        <v/>
      </c>
      <c r="AA24" s="37">
        <f>COUNTIF(AA$5:AA$21,"A*")</f>
        <v/>
      </c>
      <c r="AB24" s="37">
        <f>COUNTIF(AB$5:AB$21,"A*")</f>
        <v/>
      </c>
      <c r="AC24" s="37">
        <f>COUNTIF(AC$5:AC$21,"A*")</f>
        <v/>
      </c>
      <c r="AD24" s="37">
        <f>COUNTIF(AD$5:AD$21,"A*")</f>
        <v/>
      </c>
      <c r="AE24" s="37">
        <f>COUNTIF(AE$5:AE$21,"A*")</f>
        <v/>
      </c>
      <c r="AF24" s="37">
        <f>COUNTIF(AF$5:AF$21,"A*")</f>
        <v/>
      </c>
      <c r="AG24" s="37">
        <f>COUNTIF(AG$5:AG$21,"A*")</f>
        <v/>
      </c>
      <c r="AH24" s="37">
        <f>COUNTIF(AH$5:AH$21,"A*")</f>
        <v/>
      </c>
      <c r="AI24" s="37">
        <f>COUNTIF(AI$5:AI$21,"A*")</f>
        <v/>
      </c>
      <c r="AJ24" s="37" t="inlineStr">
        <is>
          <t xml:space="preserve"> </t>
        </is>
      </c>
    </row>
    <row r="25" ht="18.75" customHeight="1" s="6">
      <c r="C25" s="90" t="inlineStr">
        <is>
          <t xml:space="preserve">Night Shift </t>
        </is>
      </c>
      <c r="D25" s="134" t="n"/>
      <c r="E25" s="36" t="n"/>
      <c r="F25" s="37">
        <f>COUNTIF(F$5:F$21,"N*")</f>
        <v/>
      </c>
      <c r="G25" s="37">
        <f>COUNTIF(G$5:G$21,"N*")</f>
        <v/>
      </c>
      <c r="H25" s="37">
        <f>COUNTIF(H$5:H$21,"N*")</f>
        <v/>
      </c>
      <c r="I25" s="37">
        <f>COUNTIF(I$5:I$21,"N*")</f>
        <v/>
      </c>
      <c r="J25" s="37">
        <f>COUNTIF(J$5:J$21,"N*")</f>
        <v/>
      </c>
      <c r="K25" s="37">
        <f>COUNTIF(K$5:K$21,"N*")</f>
        <v/>
      </c>
      <c r="L25" s="37">
        <f>COUNTIF(L$5:L$21,"N*")</f>
        <v/>
      </c>
      <c r="M25" s="37">
        <f>COUNTIF(M$5:M$21,"N*")</f>
        <v/>
      </c>
      <c r="N25" s="37">
        <f>COUNTIF(N$5:N$21,"N*")</f>
        <v/>
      </c>
      <c r="O25" s="37">
        <f>COUNTIF(O$5:O$21,"N*")</f>
        <v/>
      </c>
      <c r="P25" s="37">
        <f>COUNTIF(P$5:P$21,"N*")</f>
        <v/>
      </c>
      <c r="Q25" s="37">
        <f>COUNTIF(Q$5:Q$21,"N*")</f>
        <v/>
      </c>
      <c r="R25" s="37">
        <f>COUNTIF(R$5:R$21,"N*")</f>
        <v/>
      </c>
      <c r="S25" s="37">
        <f>COUNTIF(S$5:S$21,"N*")</f>
        <v/>
      </c>
      <c r="T25" s="37">
        <f>COUNTIF(T$5:T$21,"N*")</f>
        <v/>
      </c>
      <c r="U25" s="37">
        <f>COUNTIF(U$5:U$21,"N*")</f>
        <v/>
      </c>
      <c r="V25" s="37">
        <f>COUNTIF(V$5:V$21,"N*")</f>
        <v/>
      </c>
      <c r="W25" s="37">
        <f>COUNTIF(W$5:W$21,"N*")</f>
        <v/>
      </c>
      <c r="X25" s="37">
        <f>COUNTIF(X$5:X$21,"N*")</f>
        <v/>
      </c>
      <c r="Y25" s="37">
        <f>COUNTIF(Y$5:Y$21,"N*")</f>
        <v/>
      </c>
      <c r="Z25" s="37">
        <f>COUNTIF(Z$5:Z$21,"N*")</f>
        <v/>
      </c>
      <c r="AA25" s="37">
        <f>COUNTIF(AA$5:AA$21,"N*")</f>
        <v/>
      </c>
      <c r="AB25" s="37">
        <f>COUNTIF(AB$5:AB$21,"N*")</f>
        <v/>
      </c>
      <c r="AC25" s="37">
        <f>COUNTIF(AC$5:AC$21,"N*")</f>
        <v/>
      </c>
      <c r="AD25" s="37">
        <f>COUNTIF(AD$5:AD$21,"N*")</f>
        <v/>
      </c>
      <c r="AE25" s="37">
        <f>COUNTIF(AE$5:AE$21,"N*")</f>
        <v/>
      </c>
      <c r="AF25" s="37">
        <f>COUNTIF(AF$5:AF$21,"N*")</f>
        <v/>
      </c>
      <c r="AG25" s="37">
        <f>COUNTIF(AG$5:AG$21,"N*")</f>
        <v/>
      </c>
      <c r="AH25" s="37">
        <f>COUNTIF(AH$5:AH$21,"N*")</f>
        <v/>
      </c>
      <c r="AI25" s="37">
        <f>COUNTIF(AI$5:AI$21,"N*")</f>
        <v/>
      </c>
      <c r="AJ25" s="37" t="inlineStr">
        <is>
          <t xml:space="preserve"> </t>
        </is>
      </c>
    </row>
    <row r="26" ht="18.75" customHeight="1" s="6">
      <c r="C26" s="90" t="inlineStr">
        <is>
          <t>Offday</t>
        </is>
      </c>
      <c r="D26" s="134" t="n"/>
      <c r="E26" s="36" t="n"/>
      <c r="F26" s="37">
        <f>COUNTIF(F$5:F$21,"O*")</f>
        <v/>
      </c>
      <c r="G26" s="37">
        <f>COUNTIF(G$5:G$21,"O*")</f>
        <v/>
      </c>
      <c r="H26" s="37">
        <f>COUNTIF(H$5:H$21,"O*")</f>
        <v/>
      </c>
      <c r="I26" s="37">
        <f>COUNTIF(I$5:I$21,"O*")</f>
        <v/>
      </c>
      <c r="J26" s="37">
        <f>COUNTIF(J$5:J$21,"O*")</f>
        <v/>
      </c>
      <c r="K26" s="37">
        <f>COUNTIF(K$5:K$21,"O*")</f>
        <v/>
      </c>
      <c r="L26" s="37">
        <f>COUNTIF(L$5:L$21,"O*")</f>
        <v/>
      </c>
      <c r="M26" s="37">
        <f>COUNTIF(M$5:M$21,"O*")</f>
        <v/>
      </c>
      <c r="N26" s="37">
        <f>COUNTIF(N$5:N$21,"O*")</f>
        <v/>
      </c>
      <c r="O26" s="37">
        <f>COUNTIF(O$5:O$21,"O*")</f>
        <v/>
      </c>
      <c r="P26" s="37">
        <f>COUNTIF(P$5:P$21,"O*")</f>
        <v/>
      </c>
      <c r="Q26" s="37">
        <f>COUNTIF(Q$5:Q$21,"O*")</f>
        <v/>
      </c>
      <c r="R26" s="37">
        <f>COUNTIF(R$5:R$21,"O*")</f>
        <v/>
      </c>
      <c r="S26" s="37">
        <f>COUNTIF(S$5:S$21,"O*")</f>
        <v/>
      </c>
      <c r="T26" s="37">
        <f>COUNTIF(T$5:T$21,"O*")</f>
        <v/>
      </c>
      <c r="U26" s="37">
        <f>COUNTIF(U$5:U$21,"O*")</f>
        <v/>
      </c>
      <c r="V26" s="37">
        <f>COUNTIF(V$5:V$21,"O*")</f>
        <v/>
      </c>
      <c r="W26" s="37">
        <f>COUNTIF(W$5:W$21,"O*")</f>
        <v/>
      </c>
      <c r="X26" s="37">
        <f>COUNTIF(X$5:X$21,"O*")</f>
        <v/>
      </c>
      <c r="Y26" s="37">
        <f>COUNTIF(Y$5:Y$21,"O*")</f>
        <v/>
      </c>
      <c r="Z26" s="37">
        <f>COUNTIF(Z$5:Z$21,"O*")</f>
        <v/>
      </c>
      <c r="AA26" s="37">
        <f>COUNTIF(AA$5:AA$21,"O*")</f>
        <v/>
      </c>
      <c r="AB26" s="37">
        <f>COUNTIF(AB$5:AB$21,"O*")</f>
        <v/>
      </c>
      <c r="AC26" s="37">
        <f>COUNTIF(AC$5:AC$21,"O*")</f>
        <v/>
      </c>
      <c r="AD26" s="37">
        <f>COUNTIF(AD$5:AD$21,"O*")</f>
        <v/>
      </c>
      <c r="AE26" s="37">
        <f>COUNTIF(AE$5:AE$21,"O*")</f>
        <v/>
      </c>
      <c r="AF26" s="37">
        <f>COUNTIF(AF$5:AF$21,"O*")</f>
        <v/>
      </c>
      <c r="AG26" s="37">
        <f>COUNTIF(AG$5:AG$21,"O*")</f>
        <v/>
      </c>
      <c r="AH26" s="37">
        <f>COUNTIF(AH$5:AH$21,"O*")</f>
        <v/>
      </c>
      <c r="AI26" s="37">
        <f>COUNTIF(AI$5:AI$21,"O*")</f>
        <v/>
      </c>
      <c r="AJ26" s="37" t="inlineStr">
        <is>
          <t xml:space="preserve"> </t>
        </is>
      </c>
    </row>
    <row r="27" ht="18.75" customHeight="1" s="6">
      <c r="C27" s="90" t="inlineStr">
        <is>
          <t>Standby Staffs</t>
        </is>
      </c>
      <c r="D27" s="134" t="n"/>
      <c r="E27" s="36" t="n"/>
      <c r="F27" s="37">
        <f>COUNTIF(F$5:F$21,"ST*")</f>
        <v/>
      </c>
      <c r="G27" s="37">
        <f>COUNTIF(G$5:G$21,"ST*")</f>
        <v/>
      </c>
      <c r="H27" s="37">
        <f>COUNTIF(H$5:H$21,"ST*")</f>
        <v/>
      </c>
      <c r="I27" s="37">
        <f>COUNTIF(I$5:I$21,"ST*")</f>
        <v/>
      </c>
      <c r="J27" s="37">
        <f>COUNTIF(J$5:J$21,"ST*")</f>
        <v/>
      </c>
      <c r="K27" s="37">
        <f>COUNTIF(K$5:K$21,"ST*")</f>
        <v/>
      </c>
      <c r="L27" s="37">
        <f>COUNTIF(L$5:L$21,"ST*")</f>
        <v/>
      </c>
      <c r="M27" s="37">
        <f>COUNTIF(M$5:M$21,"ST*")</f>
        <v/>
      </c>
      <c r="N27" s="37">
        <f>COUNTIF(N$5:N$21,"ST*")</f>
        <v/>
      </c>
      <c r="O27" s="37">
        <f>COUNTIF(O$5:O$21,"ST*")</f>
        <v/>
      </c>
      <c r="P27" s="37">
        <f>COUNTIF(P$5:P$21,"ST*")</f>
        <v/>
      </c>
      <c r="Q27" s="37">
        <f>COUNTIF(Q$5:Q$21,"ST*")</f>
        <v/>
      </c>
      <c r="R27" s="37">
        <f>COUNTIF(R$5:R$21,"ST*")</f>
        <v/>
      </c>
      <c r="S27" s="37">
        <f>COUNTIF(S$5:S$21,"ST*")</f>
        <v/>
      </c>
      <c r="T27" s="37">
        <f>COUNTIF(T$5:T$21,"ST*")</f>
        <v/>
      </c>
      <c r="U27" s="37">
        <f>COUNTIF(U$5:U$21,"ST*")</f>
        <v/>
      </c>
      <c r="V27" s="37">
        <f>COUNTIF(V$5:V$21,"ST*")</f>
        <v/>
      </c>
      <c r="W27" s="37">
        <f>COUNTIF(W$5:W$21,"ST*")</f>
        <v/>
      </c>
      <c r="X27" s="37">
        <f>COUNTIF(X$5:X$21,"ST*")</f>
        <v/>
      </c>
      <c r="Y27" s="37">
        <f>COUNTIF(Y$5:Y$21,"ST*")</f>
        <v/>
      </c>
      <c r="Z27" s="37">
        <f>COUNTIF(Z$5:Z$21,"ST*")</f>
        <v/>
      </c>
      <c r="AA27" s="37">
        <f>COUNTIF(AA$5:AA$21,"ST*")</f>
        <v/>
      </c>
      <c r="AB27" s="37">
        <f>COUNTIF(AB$5:AB$21,"ST*")</f>
        <v/>
      </c>
      <c r="AC27" s="37">
        <f>COUNTIF(AC$5:AC$21,"ST*")</f>
        <v/>
      </c>
      <c r="AD27" s="37">
        <f>COUNTIF(AD$5:AD$21,"ST*")</f>
        <v/>
      </c>
      <c r="AE27" s="37">
        <f>COUNTIF(AE$5:AE$21,"ST*")</f>
        <v/>
      </c>
      <c r="AF27" s="37">
        <f>COUNTIF(AF$5:AF$21,"ST*")</f>
        <v/>
      </c>
      <c r="AG27" s="37">
        <f>COUNTIF(AG$5:AG$21,"ST*")</f>
        <v/>
      </c>
      <c r="AH27" s="37">
        <f>COUNTIF(AH$5:AH$21,"ST*")</f>
        <v/>
      </c>
      <c r="AI27" s="37">
        <f>COUNTIF(AI$5:AI$21,"ST*")</f>
        <v/>
      </c>
      <c r="AJ27" s="37" t="inlineStr">
        <is>
          <t xml:space="preserve"> </t>
        </is>
      </c>
    </row>
    <row r="28" ht="18.75" customHeight="1" s="6">
      <c r="C28" s="88" t="inlineStr">
        <is>
          <t>Extra Staffs</t>
        </is>
      </c>
      <c r="D28" s="134" t="n"/>
      <c r="E28" s="38" t="n"/>
      <c r="F28" s="59">
        <f>F30-F31</f>
        <v/>
      </c>
      <c r="G28" s="59">
        <f>G30-G31</f>
        <v/>
      </c>
      <c r="H28" s="59">
        <f>H30-H31</f>
        <v/>
      </c>
      <c r="I28" s="59">
        <f>I30-I31</f>
        <v/>
      </c>
      <c r="J28" s="59">
        <f>J30-J31</f>
        <v/>
      </c>
      <c r="K28" s="59">
        <f>K30-K31</f>
        <v/>
      </c>
      <c r="L28" s="59">
        <f>L30-L31</f>
        <v/>
      </c>
      <c r="M28" s="59">
        <f>M30-M31</f>
        <v/>
      </c>
      <c r="N28" s="59">
        <f>N30-N31</f>
        <v/>
      </c>
      <c r="O28" s="59">
        <f>O30-O31</f>
        <v/>
      </c>
      <c r="P28" s="59">
        <f>P30-P31</f>
        <v/>
      </c>
      <c r="Q28" s="59">
        <f>Q30-Q31</f>
        <v/>
      </c>
      <c r="R28" s="59">
        <f>R30-R31</f>
        <v/>
      </c>
      <c r="S28" s="59">
        <f>S30-S31</f>
        <v/>
      </c>
      <c r="T28" s="59">
        <f>T30-T31</f>
        <v/>
      </c>
      <c r="U28" s="59">
        <f>U30-U31</f>
        <v/>
      </c>
      <c r="V28" s="59">
        <f>V30-V31</f>
        <v/>
      </c>
      <c r="W28" s="59">
        <f>W30-W31</f>
        <v/>
      </c>
      <c r="X28" s="59">
        <f>X30-X31</f>
        <v/>
      </c>
      <c r="Y28" s="59">
        <f>Y30-Y31</f>
        <v/>
      </c>
      <c r="Z28" s="59">
        <f>Z30-Z31</f>
        <v/>
      </c>
      <c r="AA28" s="59">
        <f>AA30-AA31</f>
        <v/>
      </c>
      <c r="AB28" s="59">
        <f>AB30-AB31</f>
        <v/>
      </c>
      <c r="AC28" s="59">
        <f>AC30-AC31</f>
        <v/>
      </c>
      <c r="AD28" s="59">
        <f>AD30-AD31</f>
        <v/>
      </c>
      <c r="AE28" s="59">
        <f>AE30-AE31</f>
        <v/>
      </c>
      <c r="AF28" s="59">
        <f>AF30-AF31</f>
        <v/>
      </c>
      <c r="AG28" s="59">
        <f>AG30-AG31</f>
        <v/>
      </c>
      <c r="AH28" s="59">
        <f>AH30-AH31</f>
        <v/>
      </c>
      <c r="AI28" s="59">
        <f>AI30-AI31</f>
        <v/>
      </c>
      <c r="AJ28" s="59" t="inlineStr">
        <is>
          <t xml:space="preserve"> </t>
        </is>
      </c>
    </row>
    <row r="29" ht="9.75" customHeight="1" s="6">
      <c r="C29" s="40" t="n"/>
      <c r="D29" s="40" t="n"/>
      <c r="E29" s="36" t="n"/>
      <c r="F29" s="89" t="n"/>
      <c r="G29" s="133" t="n"/>
      <c r="H29" s="133" t="n"/>
      <c r="I29" s="133" t="n"/>
      <c r="J29" s="133" t="n"/>
      <c r="K29" s="133" t="n"/>
      <c r="L29" s="133" t="n"/>
      <c r="M29" s="133" t="n"/>
      <c r="N29" s="133" t="n"/>
      <c r="O29" s="133" t="n"/>
      <c r="P29" s="133" t="n"/>
      <c r="Q29" s="133" t="n"/>
      <c r="R29" s="133" t="n"/>
      <c r="S29" s="133" t="n"/>
      <c r="T29" s="133" t="n"/>
      <c r="U29" s="133" t="n"/>
      <c r="V29" s="133" t="n"/>
      <c r="W29" s="133" t="n"/>
      <c r="X29" s="133" t="n"/>
      <c r="Y29" s="133" t="n"/>
      <c r="Z29" s="133" t="n"/>
      <c r="AA29" s="133" t="n"/>
      <c r="AB29" s="133" t="n"/>
      <c r="AC29" s="133" t="n"/>
      <c r="AD29" s="133" t="n"/>
      <c r="AE29" s="133" t="n"/>
      <c r="AF29" s="133" t="n"/>
      <c r="AG29" s="133" t="n"/>
      <c r="AH29" s="133" t="n"/>
      <c r="AI29" s="133" t="n"/>
      <c r="AJ29" s="133" t="n"/>
    </row>
    <row r="30" ht="18.75" customHeight="1" s="6">
      <c r="C30" s="90" t="inlineStr">
        <is>
          <t xml:space="preserve">On duty </t>
        </is>
      </c>
      <c r="D30" s="134" t="n"/>
      <c r="E30" s="36" t="n"/>
      <c r="F30" s="41">
        <f>SUM(F23:F25)</f>
        <v/>
      </c>
      <c r="G30" s="41">
        <f>SUM(G23:G25)</f>
        <v/>
      </c>
      <c r="H30" s="41">
        <f>SUM(H23:H25)</f>
        <v/>
      </c>
      <c r="I30" s="41">
        <f>SUM(I23:I25)</f>
        <v/>
      </c>
      <c r="J30" s="41">
        <f>SUM(J23:J25)</f>
        <v/>
      </c>
      <c r="K30" s="41">
        <f>SUM(K23:K25)</f>
        <v/>
      </c>
      <c r="L30" s="41">
        <f>SUM(L23:L25)</f>
        <v/>
      </c>
      <c r="M30" s="41">
        <f>SUM(M23:M25)</f>
        <v/>
      </c>
      <c r="N30" s="41">
        <f>SUM(N23:N25)</f>
        <v/>
      </c>
      <c r="O30" s="41">
        <f>SUM(O23:O25)</f>
        <v/>
      </c>
      <c r="P30" s="41">
        <f>SUM(P23:P25)</f>
        <v/>
      </c>
      <c r="Q30" s="41">
        <f>SUM(Q23:Q25)</f>
        <v/>
      </c>
      <c r="R30" s="41">
        <f>SUM(R23:R25)</f>
        <v/>
      </c>
      <c r="S30" s="41">
        <f>SUM(S23:S25)</f>
        <v/>
      </c>
      <c r="T30" s="41">
        <f>SUM(T23:T25)</f>
        <v/>
      </c>
      <c r="U30" s="41">
        <f>SUM(U23:U25)</f>
        <v/>
      </c>
      <c r="V30" s="41">
        <f>SUM(V23:V25)</f>
        <v/>
      </c>
      <c r="W30" s="41">
        <f>SUM(W23:W25)</f>
        <v/>
      </c>
      <c r="X30" s="41">
        <f>SUM(X23:X25)</f>
        <v/>
      </c>
      <c r="Y30" s="41">
        <f>SUM(Y23:Y25)</f>
        <v/>
      </c>
      <c r="Z30" s="41">
        <f>SUM(Z23:Z25)</f>
        <v/>
      </c>
      <c r="AA30" s="41">
        <f>SUM(AA23:AA25)</f>
        <v/>
      </c>
      <c r="AB30" s="41">
        <f>SUM(AB23:AB25)</f>
        <v/>
      </c>
      <c r="AC30" s="41">
        <f>SUM(AC23:AC25)</f>
        <v/>
      </c>
      <c r="AD30" s="41">
        <f>SUM(AD23:AD25)</f>
        <v/>
      </c>
      <c r="AE30" s="41">
        <f>SUM(AE23:AE25)</f>
        <v/>
      </c>
      <c r="AF30" s="41">
        <f>SUM(AF23:AF25)</f>
        <v/>
      </c>
      <c r="AG30" s="41">
        <f>SUM(AG23:AG25)</f>
        <v/>
      </c>
      <c r="AH30" s="41">
        <f>SUM(AH23:AH25)</f>
        <v/>
      </c>
      <c r="AI30" s="41">
        <f>SUM(AI23:AI25)</f>
        <v/>
      </c>
      <c r="AJ30" s="41" t="inlineStr">
        <is>
          <t xml:space="preserve"> </t>
        </is>
      </c>
    </row>
    <row r="31" ht="18.75" customHeight="1" s="6">
      <c r="C31" s="90" t="inlineStr">
        <is>
          <t xml:space="preserve">Minimum Requirement </t>
        </is>
      </c>
      <c r="D31" s="134" t="n"/>
      <c r="E31" s="36" t="n"/>
      <c r="F31" s="37" t="n">
        <v>9</v>
      </c>
      <c r="G31" s="37" t="n">
        <v>9</v>
      </c>
      <c r="H31" s="37" t="n">
        <v>9</v>
      </c>
      <c r="I31" s="37" t="n">
        <v>9</v>
      </c>
      <c r="J31" s="37" t="n">
        <v>9</v>
      </c>
      <c r="K31" s="37" t="n">
        <v>9</v>
      </c>
      <c r="L31" s="37" t="n">
        <v>9</v>
      </c>
      <c r="M31" s="37" t="n">
        <v>9</v>
      </c>
      <c r="N31" s="37" t="n">
        <v>9</v>
      </c>
      <c r="O31" s="37" t="n">
        <v>9</v>
      </c>
      <c r="P31" s="37" t="n">
        <v>9</v>
      </c>
      <c r="Q31" s="37" t="n">
        <v>9</v>
      </c>
      <c r="R31" s="37" t="n">
        <v>9</v>
      </c>
      <c r="S31" s="37" t="n">
        <v>9</v>
      </c>
      <c r="T31" s="37" t="n">
        <v>9</v>
      </c>
      <c r="U31" s="37" t="n">
        <v>9</v>
      </c>
      <c r="V31" s="37" t="n">
        <v>9</v>
      </c>
      <c r="W31" s="37" t="n">
        <v>9</v>
      </c>
      <c r="X31" s="37" t="n">
        <v>9</v>
      </c>
      <c r="Y31" s="37" t="n">
        <v>9</v>
      </c>
      <c r="Z31" s="37" t="n">
        <v>9</v>
      </c>
      <c r="AA31" s="37" t="n">
        <v>9</v>
      </c>
      <c r="AB31" s="37" t="n">
        <v>9</v>
      </c>
      <c r="AC31" s="37" t="n">
        <v>9</v>
      </c>
      <c r="AD31" s="37" t="n">
        <v>9</v>
      </c>
      <c r="AE31" s="37" t="n">
        <v>9</v>
      </c>
      <c r="AF31" s="37" t="n">
        <v>9</v>
      </c>
      <c r="AG31" s="37" t="n">
        <v>9</v>
      </c>
      <c r="AH31" s="37" t="n">
        <v>9</v>
      </c>
      <c r="AI31" s="37" t="n">
        <v>9</v>
      </c>
      <c r="AJ31" s="37" t="inlineStr">
        <is>
          <t xml:space="preserve"> </t>
        </is>
      </c>
    </row>
    <row r="32" ht="18.75" customHeight="1" s="6">
      <c r="C32" s="90" t="inlineStr">
        <is>
          <t xml:space="preserve">Total Staffs  </t>
        </is>
      </c>
      <c r="D32" s="134" t="n"/>
      <c r="E32" s="36" t="n"/>
      <c r="F32" s="37" t="n">
        <v>15</v>
      </c>
      <c r="G32" s="37" t="n">
        <v>15</v>
      </c>
      <c r="H32" s="37" t="n">
        <v>15</v>
      </c>
      <c r="I32" s="37" t="n">
        <v>15</v>
      </c>
      <c r="J32" s="37" t="n">
        <v>15</v>
      </c>
      <c r="K32" s="37" t="n">
        <v>15</v>
      </c>
      <c r="L32" s="37" t="n">
        <v>15</v>
      </c>
      <c r="M32" s="37" t="n">
        <v>15</v>
      </c>
      <c r="N32" s="37" t="n">
        <v>15</v>
      </c>
      <c r="O32" s="37" t="n">
        <v>15</v>
      </c>
      <c r="P32" s="37" t="n">
        <v>15</v>
      </c>
      <c r="Q32" s="37" t="n">
        <v>15</v>
      </c>
      <c r="R32" s="37" t="n">
        <v>15</v>
      </c>
      <c r="S32" s="37" t="n">
        <v>15</v>
      </c>
      <c r="T32" s="37" t="n">
        <v>15</v>
      </c>
      <c r="U32" s="37" t="n">
        <v>15</v>
      </c>
      <c r="V32" s="37" t="n">
        <v>15</v>
      </c>
      <c r="W32" s="37" t="n">
        <v>15</v>
      </c>
      <c r="X32" s="37" t="n">
        <v>15</v>
      </c>
      <c r="Y32" s="37" t="n">
        <v>15</v>
      </c>
      <c r="Z32" s="37" t="n">
        <v>15</v>
      </c>
      <c r="AA32" s="37" t="n">
        <v>15</v>
      </c>
      <c r="AB32" s="37" t="n">
        <v>15</v>
      </c>
      <c r="AC32" s="37" t="n">
        <v>15</v>
      </c>
      <c r="AD32" s="37" t="n">
        <v>15</v>
      </c>
      <c r="AE32" s="37" t="n">
        <v>15</v>
      </c>
      <c r="AF32" s="37" t="n">
        <v>15</v>
      </c>
      <c r="AG32" s="37" t="n">
        <v>15</v>
      </c>
      <c r="AH32" s="37" t="n">
        <v>15</v>
      </c>
      <c r="AI32" s="37" t="n">
        <v>15</v>
      </c>
      <c r="AJ32" s="37" t="inlineStr">
        <is>
          <t xml:space="preserve"> </t>
        </is>
      </c>
    </row>
  </sheetData>
  <mergeCells count="34">
    <mergeCell ref="C15:D15"/>
    <mergeCell ref="C5:D5"/>
    <mergeCell ref="C6:D6"/>
    <mergeCell ref="C7:D7"/>
    <mergeCell ref="C8:D8"/>
    <mergeCell ref="C9:D9"/>
    <mergeCell ref="C10:D10"/>
    <mergeCell ref="C11:D11"/>
    <mergeCell ref="C12:D12"/>
    <mergeCell ref="C13:D13"/>
    <mergeCell ref="C14:D14"/>
    <mergeCell ref="C30:D30"/>
    <mergeCell ref="C31:D31"/>
    <mergeCell ref="C32:D32"/>
    <mergeCell ref="C24:D24"/>
    <mergeCell ref="C25:D25"/>
    <mergeCell ref="C26:D26"/>
    <mergeCell ref="C27:D27"/>
    <mergeCell ref="C28:D28"/>
    <mergeCell ref="F29:AJ29"/>
    <mergeCell ref="C16:D16"/>
    <mergeCell ref="C17:D17"/>
    <mergeCell ref="C18:D18"/>
    <mergeCell ref="C23:D23"/>
    <mergeCell ref="C19:D19"/>
    <mergeCell ref="C20:D20"/>
    <mergeCell ref="C21:D21"/>
    <mergeCell ref="B3:D4"/>
    <mergeCell ref="AP2:AP4"/>
    <mergeCell ref="F2:AJ2"/>
    <mergeCell ref="AL2:AL4"/>
    <mergeCell ref="AM2:AM4"/>
    <mergeCell ref="AN2:AN4"/>
    <mergeCell ref="AO2:AO4"/>
  </mergeCells>
  <conditionalFormatting sqref="F5:AI21">
    <cfRule type="containsText" priority="1" operator="containsText" dxfId="8" text="STN">
      <formula>NOT(ISERROR(SEARCH("STN",F5)))</formula>
    </cfRule>
    <cfRule type="containsText" priority="2" operator="containsText" dxfId="20" text="STN">
      <formula>NOT(ISERROR(SEARCH("STN",F5)))</formula>
    </cfRule>
    <cfRule type="containsText" priority="3" operator="containsText" dxfId="4" text="STM">
      <formula>NOT(ISERROR(SEARCH("STM",F5)))</formula>
    </cfRule>
    <cfRule type="containsText" priority="4" operator="containsText" dxfId="17" text="M">
      <formula>NOT(ISERROR(SEARCH("M",F5)))</formula>
    </cfRule>
    <cfRule type="containsText" priority="5" operator="containsText" dxfId="17" text="STM1">
      <formula>NOT(ISERROR(SEARCH("STM1",F5)))</formula>
    </cfRule>
    <cfRule type="containsText" priority="6" operator="containsText" dxfId="16" text="M">
      <formula>NOT(ISERROR(SEARCH("M",F5)))</formula>
    </cfRule>
    <cfRule type="containsText" priority="7" operator="containsText" dxfId="15" text="STM">
      <formula>NOT(ISERROR(SEARCH("STM",F5)))</formula>
    </cfRule>
    <cfRule type="containsText" priority="8" operator="containsText" dxfId="14" text="STM">
      <formula>NOT(ISERROR(SEARCH("STM",F5)))</formula>
    </cfRule>
  </conditionalFormatting>
  <conditionalFormatting sqref="G5:AI5 F6:AI21">
    <cfRule type="containsText" priority="9" operator="containsText" dxfId="6" text="STM1">
      <formula>NOT(ISERROR(SEARCH("STM1",F5)))</formula>
    </cfRule>
    <cfRule type="containsText" priority="10" operator="containsText" dxfId="5" text="STA">
      <formula>NOT(ISERROR(SEARCH("STA",F5)))</formula>
    </cfRule>
    <cfRule type="containsText" priority="11" operator="containsText" dxfId="4" text="STM1">
      <formula>NOT(ISERROR(SEARCH("STM1",F5)))</formula>
    </cfRule>
    <cfRule type="containsText" priority="12" operator="containsText" dxfId="3" text="O">
      <formula>NOT(ISERROR(SEARCH("O",F5)))</formula>
    </cfRule>
    <cfRule type="containsText" priority="13" operator="containsText" dxfId="2" text="N">
      <formula>NOT(ISERROR(SEARCH("N",F5)))</formula>
    </cfRule>
    <cfRule type="containsText" priority="14" operator="containsText" dxfId="1" text="A">
      <formula>NOT(ISERROR(SEARCH("A",F5)))</formula>
    </cfRule>
    <cfRule type="containsText" priority="15" operator="containsText" dxfId="0" text="M">
      <formula>NOT(ISERROR(SEARCH("M",F5)))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AO26"/>
  <sheetViews>
    <sheetView zoomScale="70" zoomScaleNormal="70" workbookViewId="0">
      <selection activeCell="L38" sqref="L38"/>
    </sheetView>
  </sheetViews>
  <sheetFormatPr baseColWidth="8" defaultRowHeight="15.75"/>
  <cols>
    <col width="3.42578125" customWidth="1" style="18" min="1" max="1"/>
    <col width="12.85546875" customWidth="1" style="18" min="2" max="2"/>
    <col width="15.42578125" customWidth="1" style="20" min="3" max="3"/>
    <col width="2.28515625" customWidth="1" style="18" min="4" max="4"/>
    <col width="10.7109375" customWidth="1" style="18" min="5" max="35"/>
    <col width="4.28515625" customWidth="1" style="18" min="36" max="36"/>
    <col width="9.140625" customWidth="1" style="18" min="37" max="16384"/>
  </cols>
  <sheetData>
    <row r="2" ht="39" customHeight="1" s="6">
      <c r="E2" s="112" t="inlineStr">
        <is>
          <t>Documentation Roster for the Month of September 2025</t>
        </is>
      </c>
      <c r="F2" s="133" t="n"/>
      <c r="G2" s="133" t="n"/>
      <c r="H2" s="133" t="n"/>
      <c r="I2" s="133" t="n"/>
      <c r="J2" s="133" t="n"/>
      <c r="K2" s="133" t="n"/>
      <c r="L2" s="133" t="n"/>
      <c r="M2" s="133" t="n"/>
      <c r="N2" s="133" t="n"/>
      <c r="O2" s="133" t="n"/>
      <c r="P2" s="133" t="n"/>
      <c r="Q2" s="133" t="n"/>
      <c r="R2" s="133" t="n"/>
      <c r="S2" s="133" t="n"/>
      <c r="T2" s="133" t="n"/>
      <c r="U2" s="133" t="n"/>
      <c r="V2" s="133" t="n"/>
      <c r="W2" s="133" t="n"/>
      <c r="X2" s="133" t="n"/>
      <c r="Y2" s="133" t="n"/>
      <c r="Z2" s="133" t="n"/>
      <c r="AA2" s="133" t="n"/>
      <c r="AB2" s="133" t="n"/>
      <c r="AC2" s="133" t="n"/>
      <c r="AD2" s="133" t="n"/>
      <c r="AE2" s="133" t="n"/>
      <c r="AF2" s="133" t="n"/>
      <c r="AG2" s="133" t="n"/>
      <c r="AH2" s="133" t="n"/>
      <c r="AI2" s="134" t="n"/>
      <c r="AK2" s="141" t="inlineStr">
        <is>
          <t xml:space="preserve">Staff Number Of Days Standby </t>
        </is>
      </c>
      <c r="AL2" s="141" t="inlineStr">
        <is>
          <t>Staff's Morning Duty</t>
        </is>
      </c>
      <c r="AM2" s="141" t="inlineStr">
        <is>
          <t>Staff's Afternoon Duty</t>
        </is>
      </c>
      <c r="AN2" s="141" t="inlineStr">
        <is>
          <t>Staff's Night Duty</t>
        </is>
      </c>
      <c r="AO2" s="141" t="inlineStr">
        <is>
          <t>Staff's Offdays</t>
        </is>
      </c>
    </row>
    <row r="3" ht="39" customHeight="1" s="6">
      <c r="B3" s="91" t="inlineStr">
        <is>
          <t>Employee</t>
        </is>
      </c>
      <c r="C3" s="132" t="n"/>
      <c r="E3" s="28" t="inlineStr">
        <is>
          <t>SAT</t>
        </is>
      </c>
      <c r="F3" s="29" t="inlineStr">
        <is>
          <t>SUN</t>
        </is>
      </c>
      <c r="G3" s="29" t="inlineStr">
        <is>
          <t>WED</t>
        </is>
      </c>
      <c r="H3" s="29" t="inlineStr">
        <is>
          <t>THU</t>
        </is>
      </c>
      <c r="I3" s="29" t="inlineStr">
        <is>
          <t>FRI</t>
        </is>
      </c>
      <c r="J3" s="29" t="inlineStr">
        <is>
          <t>SAT</t>
        </is>
      </c>
      <c r="K3" s="29" t="inlineStr">
        <is>
          <t>SUN</t>
        </is>
      </c>
      <c r="L3" s="29" t="inlineStr">
        <is>
          <t>MON</t>
        </is>
      </c>
      <c r="M3" s="29" t="inlineStr">
        <is>
          <t>TUE</t>
        </is>
      </c>
      <c r="N3" s="29" t="inlineStr">
        <is>
          <t>WED</t>
        </is>
      </c>
      <c r="O3" s="29" t="inlineStr">
        <is>
          <t>THU</t>
        </is>
      </c>
      <c r="P3" s="29" t="inlineStr">
        <is>
          <t>FRI</t>
        </is>
      </c>
      <c r="Q3" s="29" t="inlineStr">
        <is>
          <t>SAT</t>
        </is>
      </c>
      <c r="R3" s="29" t="inlineStr">
        <is>
          <t>SUN</t>
        </is>
      </c>
      <c r="S3" s="29" t="inlineStr">
        <is>
          <t>MON</t>
        </is>
      </c>
      <c r="T3" s="29" t="inlineStr">
        <is>
          <t>TUE</t>
        </is>
      </c>
      <c r="U3" s="29" t="inlineStr">
        <is>
          <t>WED</t>
        </is>
      </c>
      <c r="V3" s="29" t="inlineStr">
        <is>
          <t>THU</t>
        </is>
      </c>
      <c r="W3" s="29" t="inlineStr">
        <is>
          <t>FRI</t>
        </is>
      </c>
      <c r="X3" s="29" t="inlineStr">
        <is>
          <t>SAT</t>
        </is>
      </c>
      <c r="Y3" s="29" t="inlineStr">
        <is>
          <t>SUN</t>
        </is>
      </c>
      <c r="Z3" s="29" t="inlineStr">
        <is>
          <t>MON</t>
        </is>
      </c>
      <c r="AA3" s="29" t="inlineStr">
        <is>
          <t>TUE</t>
        </is>
      </c>
      <c r="AB3" s="29" t="inlineStr">
        <is>
          <t>WED</t>
        </is>
      </c>
      <c r="AC3" s="29" t="inlineStr">
        <is>
          <t>THU</t>
        </is>
      </c>
      <c r="AD3" s="29" t="inlineStr">
        <is>
          <t>FRI</t>
        </is>
      </c>
      <c r="AE3" s="29" t="inlineStr">
        <is>
          <t>SAT</t>
        </is>
      </c>
      <c r="AF3" s="29" t="inlineStr">
        <is>
          <t>SUN</t>
        </is>
      </c>
      <c r="AG3" s="29" t="inlineStr">
        <is>
          <t>MON</t>
        </is>
      </c>
      <c r="AH3" s="30" t="inlineStr">
        <is>
          <t>TUE</t>
        </is>
      </c>
      <c r="AI3" s="31" t="n"/>
      <c r="AK3" s="11" t="n"/>
      <c r="AL3" s="11" t="n"/>
      <c r="AM3" s="11" t="n"/>
      <c r="AN3" s="11" t="n"/>
      <c r="AO3" s="11" t="n"/>
    </row>
    <row r="4" ht="19.5" customHeight="1" s="6" thickBot="1">
      <c r="B4" s="137" t="n"/>
      <c r="C4" s="138" t="n"/>
      <c r="E4" s="32" t="n">
        <v>1</v>
      </c>
      <c r="F4" s="33" t="n">
        <v>2</v>
      </c>
      <c r="G4" s="33" t="n">
        <v>3</v>
      </c>
      <c r="H4" s="33" t="n">
        <v>4</v>
      </c>
      <c r="I4" s="33" t="n">
        <v>5</v>
      </c>
      <c r="J4" s="33" t="n">
        <v>6</v>
      </c>
      <c r="K4" s="33" t="n">
        <v>7</v>
      </c>
      <c r="L4" s="33" t="n">
        <v>8</v>
      </c>
      <c r="M4" s="33" t="n">
        <v>9</v>
      </c>
      <c r="N4" s="33" t="n">
        <v>10</v>
      </c>
      <c r="O4" s="33" t="n">
        <v>11</v>
      </c>
      <c r="P4" s="33" t="n">
        <v>12</v>
      </c>
      <c r="Q4" s="33" t="n">
        <v>13</v>
      </c>
      <c r="R4" s="33" t="n">
        <v>14</v>
      </c>
      <c r="S4" s="33" t="n">
        <v>15</v>
      </c>
      <c r="T4" s="33" t="n">
        <v>16</v>
      </c>
      <c r="U4" s="33" t="n">
        <v>17</v>
      </c>
      <c r="V4" s="33" t="n">
        <v>18</v>
      </c>
      <c r="W4" s="33" t="n">
        <v>19</v>
      </c>
      <c r="X4" s="33" t="n">
        <v>20</v>
      </c>
      <c r="Y4" s="33" t="n">
        <v>21</v>
      </c>
      <c r="Z4" s="33" t="n">
        <v>22</v>
      </c>
      <c r="AA4" s="33" t="n">
        <v>23</v>
      </c>
      <c r="AB4" s="33" t="n">
        <v>24</v>
      </c>
      <c r="AC4" s="33" t="n">
        <v>25</v>
      </c>
      <c r="AD4" s="33" t="n">
        <v>26</v>
      </c>
      <c r="AE4" s="33" t="n">
        <v>27</v>
      </c>
      <c r="AF4" s="33" t="n">
        <v>28</v>
      </c>
      <c r="AG4" s="33" t="n">
        <v>29</v>
      </c>
      <c r="AH4" s="34" t="n">
        <v>30</v>
      </c>
      <c r="AI4" s="35" t="n"/>
      <c r="AK4" s="12" t="n"/>
      <c r="AL4" s="12" t="n"/>
      <c r="AM4" s="12" t="n"/>
      <c r="AN4" s="12" t="n"/>
      <c r="AO4" s="12" t="n"/>
    </row>
    <row r="5" ht="18.75" customHeight="1" s="6">
      <c r="B5" s="104" t="inlineStr">
        <is>
          <t>Staff 1</t>
        </is>
      </c>
      <c r="C5" s="134" t="n"/>
      <c r="E5" s="27" t="inlineStr">
        <is>
          <t>STM1</t>
        </is>
      </c>
      <c r="F5" s="23" t="inlineStr">
        <is>
          <t>M1</t>
        </is>
      </c>
      <c r="G5" s="23" t="inlineStr">
        <is>
          <t>M2</t>
        </is>
      </c>
      <c r="H5" s="23" t="inlineStr">
        <is>
          <t>M3</t>
        </is>
      </c>
      <c r="I5" s="23" t="inlineStr">
        <is>
          <t>O1</t>
        </is>
      </c>
      <c r="J5" s="23" t="inlineStr">
        <is>
          <t>O2</t>
        </is>
      </c>
      <c r="K5" s="23" t="inlineStr">
        <is>
          <t>M1</t>
        </is>
      </c>
      <c r="L5" s="23" t="inlineStr">
        <is>
          <t>M2</t>
        </is>
      </c>
      <c r="M5" s="23" t="inlineStr">
        <is>
          <t>A1</t>
        </is>
      </c>
      <c r="N5" s="23" t="inlineStr">
        <is>
          <t>STA2</t>
        </is>
      </c>
      <c r="O5" s="23" t="inlineStr">
        <is>
          <t>A3</t>
        </is>
      </c>
      <c r="P5" s="23" t="inlineStr">
        <is>
          <t>O1</t>
        </is>
      </c>
      <c r="Q5" s="23" t="inlineStr">
        <is>
          <t>O2</t>
        </is>
      </c>
      <c r="R5" s="23" t="inlineStr">
        <is>
          <t>A1</t>
        </is>
      </c>
      <c r="S5" s="23" t="inlineStr">
        <is>
          <t>A2</t>
        </is>
      </c>
      <c r="T5" s="23" t="inlineStr">
        <is>
          <t>STA3</t>
        </is>
      </c>
      <c r="U5" s="23" t="inlineStr">
        <is>
          <t>M1</t>
        </is>
      </c>
      <c r="V5" s="23" t="inlineStr">
        <is>
          <t>M2</t>
        </is>
      </c>
      <c r="W5" s="23" t="inlineStr">
        <is>
          <t>O1</t>
        </is>
      </c>
      <c r="X5" s="23" t="inlineStr">
        <is>
          <t>O2</t>
        </is>
      </c>
      <c r="Y5" s="23" t="inlineStr">
        <is>
          <t>M1</t>
        </is>
      </c>
      <c r="Z5" s="23" t="inlineStr">
        <is>
          <t>M2</t>
        </is>
      </c>
      <c r="AA5" s="23" t="inlineStr">
        <is>
          <t>STA1</t>
        </is>
      </c>
      <c r="AB5" s="23" t="inlineStr">
        <is>
          <t>A2</t>
        </is>
      </c>
      <c r="AC5" s="23" t="inlineStr">
        <is>
          <t>A3</t>
        </is>
      </c>
      <c r="AD5" s="23" t="inlineStr">
        <is>
          <t>O1</t>
        </is>
      </c>
      <c r="AE5" s="23" t="inlineStr">
        <is>
          <t>O2</t>
        </is>
      </c>
      <c r="AF5" s="23" t="inlineStr">
        <is>
          <t>M1</t>
        </is>
      </c>
      <c r="AG5" s="23" t="inlineStr">
        <is>
          <t>M2</t>
        </is>
      </c>
      <c r="AH5" s="24" t="inlineStr">
        <is>
          <t>A1</t>
        </is>
      </c>
      <c r="AI5" s="26" t="n"/>
      <c r="AK5" s="56">
        <f>COUNTIF($E5:$AI5,"ST*")</f>
        <v/>
      </c>
      <c r="AL5" s="56">
        <f>COUNTIF($E5:$AI5,"M*")</f>
        <v/>
      </c>
      <c r="AM5" s="56">
        <f>COUNTIF($E5:$AI5,"A*")</f>
        <v/>
      </c>
      <c r="AN5" s="56">
        <f>COUNTIF($E5:$AI5,"N*")</f>
        <v/>
      </c>
      <c r="AO5" s="56">
        <f>COUNTIF($E5:$AI5,"O*")</f>
        <v/>
      </c>
    </row>
    <row r="6" ht="18.75" customHeight="1" s="6">
      <c r="B6" s="104" t="inlineStr">
        <is>
          <t>Staff 2</t>
        </is>
      </c>
      <c r="C6" s="134" t="n"/>
      <c r="E6" s="57" t="inlineStr">
        <is>
          <t>M1</t>
        </is>
      </c>
      <c r="F6" s="57" t="inlineStr">
        <is>
          <t>A1</t>
        </is>
      </c>
      <c r="G6" s="57" t="inlineStr">
        <is>
          <t>STA2</t>
        </is>
      </c>
      <c r="H6" s="57" t="inlineStr">
        <is>
          <t>A3</t>
        </is>
      </c>
      <c r="I6" s="57" t="inlineStr">
        <is>
          <t>O1</t>
        </is>
      </c>
      <c r="J6" s="57" t="inlineStr">
        <is>
          <t>O2</t>
        </is>
      </c>
      <c r="K6" s="57" t="inlineStr">
        <is>
          <t>A1</t>
        </is>
      </c>
      <c r="L6" s="57" t="inlineStr">
        <is>
          <t>STA2</t>
        </is>
      </c>
      <c r="M6" s="57" t="inlineStr">
        <is>
          <t>M1</t>
        </is>
      </c>
      <c r="N6" s="57" t="inlineStr">
        <is>
          <t>M2</t>
        </is>
      </c>
      <c r="O6" s="57" t="inlineStr">
        <is>
          <t>M3</t>
        </is>
      </c>
      <c r="P6" s="57" t="inlineStr">
        <is>
          <t>O1</t>
        </is>
      </c>
      <c r="Q6" s="57" t="inlineStr">
        <is>
          <t>O2</t>
        </is>
      </c>
      <c r="R6" s="57" t="inlineStr">
        <is>
          <t>M1</t>
        </is>
      </c>
      <c r="S6" s="57" t="inlineStr">
        <is>
          <t>M2</t>
        </is>
      </c>
      <c r="T6" s="57" t="inlineStr">
        <is>
          <t>STM3</t>
        </is>
      </c>
      <c r="U6" s="57" t="inlineStr">
        <is>
          <t>A1</t>
        </is>
      </c>
      <c r="V6" s="57" t="inlineStr">
        <is>
          <t>STA2</t>
        </is>
      </c>
      <c r="W6" s="57" t="inlineStr">
        <is>
          <t>O1</t>
        </is>
      </c>
      <c r="X6" s="57" t="inlineStr">
        <is>
          <t>O2</t>
        </is>
      </c>
      <c r="Y6" s="57" t="inlineStr">
        <is>
          <t>A1</t>
        </is>
      </c>
      <c r="Z6" s="57" t="inlineStr">
        <is>
          <t>A2</t>
        </is>
      </c>
      <c r="AA6" s="57" t="inlineStr">
        <is>
          <t>M1</t>
        </is>
      </c>
      <c r="AB6" s="57" t="inlineStr">
        <is>
          <t>M2</t>
        </is>
      </c>
      <c r="AC6" s="57" t="inlineStr">
        <is>
          <t>M3</t>
        </is>
      </c>
      <c r="AD6" s="57" t="inlineStr">
        <is>
          <t>O1</t>
        </is>
      </c>
      <c r="AE6" s="57" t="inlineStr">
        <is>
          <t>O2</t>
        </is>
      </c>
      <c r="AF6" s="57" t="inlineStr">
        <is>
          <t>A1</t>
        </is>
      </c>
      <c r="AG6" s="57" t="inlineStr">
        <is>
          <t>A2</t>
        </is>
      </c>
      <c r="AH6" s="25" t="inlineStr">
        <is>
          <t>M1</t>
        </is>
      </c>
      <c r="AI6" s="19" t="n"/>
      <c r="AK6" s="56">
        <f>COUNTIF($E6:$AI6,"ST*")</f>
        <v/>
      </c>
      <c r="AL6" s="56">
        <f>COUNTIF($E6:$AI6,"M*")</f>
        <v/>
      </c>
      <c r="AM6" s="56">
        <f>COUNTIF($E6:$AI6,"A*")</f>
        <v/>
      </c>
      <c r="AN6" s="56">
        <f>COUNTIF($E6:$AI6,"N*")</f>
        <v/>
      </c>
      <c r="AO6" s="56">
        <f>COUNTIF($E6:$AI6,"O*")</f>
        <v/>
      </c>
    </row>
    <row r="7" ht="18.75" customHeight="1" s="6">
      <c r="B7" s="104" t="inlineStr">
        <is>
          <t>Staff 3</t>
        </is>
      </c>
      <c r="C7" s="134" t="n"/>
      <c r="E7" s="57" t="inlineStr">
        <is>
          <t>A1</t>
        </is>
      </c>
      <c r="F7" s="57" t="inlineStr">
        <is>
          <t>M1</t>
        </is>
      </c>
      <c r="G7" s="57" t="inlineStr">
        <is>
          <t>M2</t>
        </is>
      </c>
      <c r="H7" s="57" t="inlineStr">
        <is>
          <t>M3</t>
        </is>
      </c>
      <c r="I7" s="57" t="inlineStr">
        <is>
          <t>O1</t>
        </is>
      </c>
      <c r="J7" s="57" t="inlineStr">
        <is>
          <t>O2</t>
        </is>
      </c>
      <c r="K7" s="57" t="inlineStr">
        <is>
          <t>M1</t>
        </is>
      </c>
      <c r="L7" s="57" t="inlineStr">
        <is>
          <t>M2</t>
        </is>
      </c>
      <c r="M7" s="57" t="inlineStr">
        <is>
          <t>A1</t>
        </is>
      </c>
      <c r="N7" s="57" t="inlineStr">
        <is>
          <t>STA2</t>
        </is>
      </c>
      <c r="O7" s="57" t="inlineStr">
        <is>
          <t>A3</t>
        </is>
      </c>
      <c r="P7" s="57" t="inlineStr">
        <is>
          <t>O1</t>
        </is>
      </c>
      <c r="Q7" s="57" t="inlineStr">
        <is>
          <t>O2</t>
        </is>
      </c>
      <c r="R7" s="57" t="inlineStr">
        <is>
          <t>A1</t>
        </is>
      </c>
      <c r="S7" s="57" t="inlineStr">
        <is>
          <t>STA2</t>
        </is>
      </c>
      <c r="T7" s="57" t="inlineStr">
        <is>
          <t>M1</t>
        </is>
      </c>
      <c r="U7" s="57" t="inlineStr">
        <is>
          <t>M2</t>
        </is>
      </c>
      <c r="V7" s="57" t="inlineStr">
        <is>
          <t>M3</t>
        </is>
      </c>
      <c r="W7" s="57" t="inlineStr">
        <is>
          <t>O1</t>
        </is>
      </c>
      <c r="X7" s="57" t="inlineStr">
        <is>
          <t>O2</t>
        </is>
      </c>
      <c r="Y7" s="57" t="inlineStr">
        <is>
          <t>M1</t>
        </is>
      </c>
      <c r="Z7" s="57" t="inlineStr">
        <is>
          <t>M2</t>
        </is>
      </c>
      <c r="AA7" s="57" t="inlineStr">
        <is>
          <t>A1</t>
        </is>
      </c>
      <c r="AB7" s="57" t="inlineStr">
        <is>
          <t>A2</t>
        </is>
      </c>
      <c r="AC7" s="57" t="inlineStr">
        <is>
          <t>A3</t>
        </is>
      </c>
      <c r="AD7" s="57" t="inlineStr">
        <is>
          <t>O1</t>
        </is>
      </c>
      <c r="AE7" s="57" t="inlineStr">
        <is>
          <t>O2</t>
        </is>
      </c>
      <c r="AF7" s="57" t="inlineStr">
        <is>
          <t>A1</t>
        </is>
      </c>
      <c r="AG7" s="57" t="inlineStr">
        <is>
          <t>STA2</t>
        </is>
      </c>
      <c r="AH7" s="25" t="inlineStr">
        <is>
          <t>M1</t>
        </is>
      </c>
      <c r="AI7" s="19" t="n"/>
      <c r="AK7" s="56">
        <f>COUNTIF($E7:$AI7,"ST*")</f>
        <v/>
      </c>
      <c r="AL7" s="56">
        <f>COUNTIF($E7:$AI7,"M*")</f>
        <v/>
      </c>
      <c r="AM7" s="56">
        <f>COUNTIF($E7:$AI7,"A*")</f>
        <v/>
      </c>
      <c r="AN7" s="56">
        <f>COUNTIF($E7:$AI7,"N*")</f>
        <v/>
      </c>
      <c r="AO7" s="56">
        <f>COUNTIF($E7:$AI7,"O*")</f>
        <v/>
      </c>
    </row>
    <row r="8" ht="18.75" customHeight="1" s="6">
      <c r="B8" s="104" t="inlineStr">
        <is>
          <t>Staff 4</t>
        </is>
      </c>
      <c r="C8" s="134" t="n"/>
      <c r="E8" s="57" t="inlineStr">
        <is>
          <t>STA1</t>
        </is>
      </c>
      <c r="F8" s="57" t="inlineStr">
        <is>
          <t>A2</t>
        </is>
      </c>
      <c r="G8" s="57" t="inlineStr">
        <is>
          <t>STA3</t>
        </is>
      </c>
      <c r="H8" s="57" t="inlineStr">
        <is>
          <t>A4</t>
        </is>
      </c>
      <c r="I8" s="57" t="inlineStr">
        <is>
          <t>O1</t>
        </is>
      </c>
      <c r="J8" s="57" t="inlineStr">
        <is>
          <t>O2</t>
        </is>
      </c>
      <c r="K8" s="57" t="inlineStr">
        <is>
          <t>A1</t>
        </is>
      </c>
      <c r="L8" s="57" t="inlineStr">
        <is>
          <t>A2</t>
        </is>
      </c>
      <c r="M8" s="57" t="inlineStr">
        <is>
          <t>STM1</t>
        </is>
      </c>
      <c r="N8" s="57" t="inlineStr">
        <is>
          <t>M2</t>
        </is>
      </c>
      <c r="O8" s="57" t="inlineStr">
        <is>
          <t>M3</t>
        </is>
      </c>
      <c r="P8" s="57" t="inlineStr">
        <is>
          <t>O1</t>
        </is>
      </c>
      <c r="Q8" s="57" t="inlineStr">
        <is>
          <t>O2</t>
        </is>
      </c>
      <c r="R8" s="57" t="inlineStr">
        <is>
          <t>M1</t>
        </is>
      </c>
      <c r="S8" s="57" t="inlineStr">
        <is>
          <t>M</t>
        </is>
      </c>
      <c r="T8" s="57" t="inlineStr">
        <is>
          <t>A1</t>
        </is>
      </c>
      <c r="U8" s="57" t="inlineStr">
        <is>
          <t>STA2</t>
        </is>
      </c>
      <c r="V8" s="57" t="inlineStr">
        <is>
          <t>A3</t>
        </is>
      </c>
      <c r="W8" s="57" t="inlineStr">
        <is>
          <t>O1</t>
        </is>
      </c>
      <c r="X8" s="57" t="inlineStr">
        <is>
          <t>O2</t>
        </is>
      </c>
      <c r="Y8" s="57" t="inlineStr">
        <is>
          <t>A1</t>
        </is>
      </c>
      <c r="Z8" s="57" t="inlineStr">
        <is>
          <t>A2</t>
        </is>
      </c>
      <c r="AA8" s="57" t="inlineStr">
        <is>
          <t>M1</t>
        </is>
      </c>
      <c r="AB8" s="57" t="inlineStr">
        <is>
          <t>STM2</t>
        </is>
      </c>
      <c r="AC8" s="57" t="inlineStr">
        <is>
          <t>M3</t>
        </is>
      </c>
      <c r="AD8" s="57" t="inlineStr">
        <is>
          <t>O1</t>
        </is>
      </c>
      <c r="AE8" s="57" t="inlineStr">
        <is>
          <t>O2</t>
        </is>
      </c>
      <c r="AF8" s="57" t="inlineStr">
        <is>
          <t>M1</t>
        </is>
      </c>
      <c r="AG8" s="57" t="inlineStr">
        <is>
          <t>M2</t>
        </is>
      </c>
      <c r="AH8" s="25" t="inlineStr">
        <is>
          <t>STA1</t>
        </is>
      </c>
      <c r="AI8" s="19" t="n"/>
      <c r="AK8" s="56">
        <f>COUNTIF($E8:$AI8,"ST*")</f>
        <v/>
      </c>
      <c r="AL8" s="56">
        <f>COUNTIF($E8:$AI8,"M*")</f>
        <v/>
      </c>
      <c r="AM8" s="56">
        <f>COUNTIF($E8:$AI8,"A*")</f>
        <v/>
      </c>
      <c r="AN8" s="56">
        <f>COUNTIF($E8:$AI8,"N*")</f>
        <v/>
      </c>
      <c r="AO8" s="56">
        <f>COUNTIF($E8:$AI8,"O*")</f>
        <v/>
      </c>
    </row>
    <row r="9" ht="18.75" customHeight="1" s="6">
      <c r="B9" s="104" t="inlineStr">
        <is>
          <t>Staff 5</t>
        </is>
      </c>
      <c r="C9" s="134" t="n"/>
      <c r="E9" s="57" t="inlineStr">
        <is>
          <t>A1</t>
        </is>
      </c>
      <c r="F9" s="57" t="inlineStr">
        <is>
          <t>STA2</t>
        </is>
      </c>
      <c r="G9" s="57" t="inlineStr">
        <is>
          <t>A3</t>
        </is>
      </c>
      <c r="H9" s="57" t="inlineStr">
        <is>
          <t>M1</t>
        </is>
      </c>
      <c r="I9" s="57" t="inlineStr">
        <is>
          <t>M2</t>
        </is>
      </c>
      <c r="J9" s="57" t="inlineStr">
        <is>
          <t>O1</t>
        </is>
      </c>
      <c r="K9" s="57" t="inlineStr">
        <is>
          <t>O2</t>
        </is>
      </c>
      <c r="L9" s="57" t="inlineStr">
        <is>
          <t>A1</t>
        </is>
      </c>
      <c r="M9" s="57" t="inlineStr">
        <is>
          <t>STA2</t>
        </is>
      </c>
      <c r="N9" s="57" t="inlineStr">
        <is>
          <t>A3</t>
        </is>
      </c>
      <c r="O9" s="57" t="inlineStr">
        <is>
          <t>M1</t>
        </is>
      </c>
      <c r="P9" s="57" t="inlineStr">
        <is>
          <t>M2</t>
        </is>
      </c>
      <c r="Q9" s="57" t="inlineStr">
        <is>
          <t>O1</t>
        </is>
      </c>
      <c r="R9" s="57" t="inlineStr">
        <is>
          <t>O2</t>
        </is>
      </c>
      <c r="S9" s="57" t="inlineStr">
        <is>
          <t>A1</t>
        </is>
      </c>
      <c r="T9" s="57" t="inlineStr">
        <is>
          <t>A2</t>
        </is>
      </c>
      <c r="U9" s="57" t="inlineStr">
        <is>
          <t>A3</t>
        </is>
      </c>
      <c r="V9" s="57" t="inlineStr">
        <is>
          <t>M1</t>
        </is>
      </c>
      <c r="W9" s="57" t="inlineStr">
        <is>
          <t>M2</t>
        </is>
      </c>
      <c r="X9" s="57" t="inlineStr">
        <is>
          <t>O1</t>
        </is>
      </c>
      <c r="Y9" s="57" t="inlineStr">
        <is>
          <t>O2</t>
        </is>
      </c>
      <c r="Z9" s="57" t="inlineStr">
        <is>
          <t>A1</t>
        </is>
      </c>
      <c r="AA9" s="57" t="inlineStr">
        <is>
          <t>STA2</t>
        </is>
      </c>
      <c r="AB9" s="57" t="inlineStr">
        <is>
          <t>A3</t>
        </is>
      </c>
      <c r="AC9" s="57" t="inlineStr">
        <is>
          <t>STM1</t>
        </is>
      </c>
      <c r="AD9" s="57" t="inlineStr">
        <is>
          <t>M2</t>
        </is>
      </c>
      <c r="AE9" s="57" t="inlineStr">
        <is>
          <t>O1</t>
        </is>
      </c>
      <c r="AF9" s="57" t="inlineStr">
        <is>
          <t>O2</t>
        </is>
      </c>
      <c r="AG9" s="57" t="inlineStr">
        <is>
          <t>A1</t>
        </is>
      </c>
      <c r="AH9" s="25" t="inlineStr">
        <is>
          <t>A2</t>
        </is>
      </c>
      <c r="AI9" s="19" t="n"/>
      <c r="AK9" s="56">
        <f>COUNTIF($E9:$AI9,"ST*")</f>
        <v/>
      </c>
      <c r="AL9" s="56">
        <f>COUNTIF($E9:$AI9,"M*")</f>
        <v/>
      </c>
      <c r="AM9" s="56">
        <f>COUNTIF($E9:$AI9,"A*")</f>
        <v/>
      </c>
      <c r="AN9" s="56">
        <f>COUNTIF($E9:$AI9,"N*")</f>
        <v/>
      </c>
      <c r="AO9" s="56">
        <f>COUNTIF($E9:$AI9,"O*")</f>
        <v/>
      </c>
    </row>
    <row r="10" ht="18.75" customHeight="1" s="6">
      <c r="B10" s="104" t="inlineStr">
        <is>
          <t>Staff 6</t>
        </is>
      </c>
      <c r="C10" s="134" t="n"/>
      <c r="E10" s="57" t="inlineStr">
        <is>
          <t>M1</t>
        </is>
      </c>
      <c r="F10" s="57" t="inlineStr">
        <is>
          <t>M2</t>
        </is>
      </c>
      <c r="G10" s="57" t="inlineStr">
        <is>
          <t>M3</t>
        </is>
      </c>
      <c r="H10" s="57" t="inlineStr">
        <is>
          <t>O1</t>
        </is>
      </c>
      <c r="I10" s="57" t="inlineStr">
        <is>
          <t>O2</t>
        </is>
      </c>
      <c r="J10" s="57" t="inlineStr">
        <is>
          <t>A1</t>
        </is>
      </c>
      <c r="K10" s="57" t="inlineStr">
        <is>
          <t>STA2</t>
        </is>
      </c>
      <c r="L10" s="57" t="inlineStr">
        <is>
          <t>M1</t>
        </is>
      </c>
      <c r="M10" s="57" t="inlineStr">
        <is>
          <t>M2</t>
        </is>
      </c>
      <c r="N10" s="57" t="inlineStr">
        <is>
          <t>M3</t>
        </is>
      </c>
      <c r="O10" s="57" t="inlineStr">
        <is>
          <t>O1</t>
        </is>
      </c>
      <c r="P10" s="57" t="inlineStr">
        <is>
          <t>O2</t>
        </is>
      </c>
      <c r="Q10" s="57" t="inlineStr">
        <is>
          <t>STA1</t>
        </is>
      </c>
      <c r="R10" s="57" t="inlineStr">
        <is>
          <t>A2</t>
        </is>
      </c>
      <c r="S10" s="57" t="inlineStr">
        <is>
          <t>M1</t>
        </is>
      </c>
      <c r="T10" s="57" t="inlineStr">
        <is>
          <t>M2</t>
        </is>
      </c>
      <c r="U10" s="57" t="inlineStr">
        <is>
          <t>M3</t>
        </is>
      </c>
      <c r="V10" s="57" t="inlineStr">
        <is>
          <t>O1</t>
        </is>
      </c>
      <c r="W10" s="57" t="inlineStr">
        <is>
          <t>O2</t>
        </is>
      </c>
      <c r="X10" s="57" t="inlineStr">
        <is>
          <t>A1</t>
        </is>
      </c>
      <c r="Y10" s="57" t="inlineStr">
        <is>
          <t>STA2</t>
        </is>
      </c>
      <c r="Z10" s="57" t="inlineStr">
        <is>
          <t>M1</t>
        </is>
      </c>
      <c r="AA10" s="57" t="inlineStr">
        <is>
          <t>M2</t>
        </is>
      </c>
      <c r="AB10" s="57" t="inlineStr">
        <is>
          <t>M3</t>
        </is>
      </c>
      <c r="AC10" s="57" t="inlineStr">
        <is>
          <t>O1</t>
        </is>
      </c>
      <c r="AD10" s="57" t="inlineStr">
        <is>
          <t>O2</t>
        </is>
      </c>
      <c r="AE10" s="57" t="inlineStr">
        <is>
          <t>STA1</t>
        </is>
      </c>
      <c r="AF10" s="57" t="inlineStr">
        <is>
          <t>A2</t>
        </is>
      </c>
      <c r="AG10" s="57" t="inlineStr">
        <is>
          <t>M1</t>
        </is>
      </c>
      <c r="AH10" s="25" t="inlineStr">
        <is>
          <t>M2</t>
        </is>
      </c>
      <c r="AI10" s="19" t="n"/>
      <c r="AK10" s="56">
        <f>COUNTIF($E10:$AI10,"ST*")</f>
        <v/>
      </c>
      <c r="AL10" s="56">
        <f>COUNTIF($E10:$AI10,"M*")</f>
        <v/>
      </c>
      <c r="AM10" s="56">
        <f>COUNTIF($E10:$AI10,"A*")</f>
        <v/>
      </c>
      <c r="AN10" s="56">
        <f>COUNTIF($E10:$AI10,"N*")</f>
        <v/>
      </c>
      <c r="AO10" s="56">
        <f>COUNTIF($E10:$AI10,"O*")</f>
        <v/>
      </c>
    </row>
    <row r="11" ht="18.75" customHeight="1" s="6">
      <c r="B11" s="104" t="inlineStr">
        <is>
          <t>Staff 7</t>
        </is>
      </c>
      <c r="C11" s="134" t="n"/>
      <c r="E11" s="57" t="inlineStr">
        <is>
          <t>N1</t>
        </is>
      </c>
      <c r="F11" s="57" t="inlineStr">
        <is>
          <t>O1</t>
        </is>
      </c>
      <c r="G11" s="57" t="inlineStr">
        <is>
          <t>O2</t>
        </is>
      </c>
      <c r="H11" s="57" t="inlineStr">
        <is>
          <t>O3</t>
        </is>
      </c>
      <c r="I11" s="57" t="inlineStr">
        <is>
          <t>A1</t>
        </is>
      </c>
      <c r="J11" s="57" t="inlineStr">
        <is>
          <t>M1</t>
        </is>
      </c>
      <c r="K11" s="57" t="inlineStr">
        <is>
          <t>M2</t>
        </is>
      </c>
      <c r="L11" s="57" t="inlineStr">
        <is>
          <t>N1</t>
        </is>
      </c>
      <c r="M11" s="57" t="inlineStr">
        <is>
          <t>N2</t>
        </is>
      </c>
      <c r="N11" s="57" t="inlineStr">
        <is>
          <t>O1</t>
        </is>
      </c>
      <c r="O11" s="57" t="inlineStr">
        <is>
          <t>O2</t>
        </is>
      </c>
      <c r="P11" s="57" t="inlineStr">
        <is>
          <t>O3</t>
        </is>
      </c>
      <c r="Q11" s="57" t="inlineStr">
        <is>
          <t>M1</t>
        </is>
      </c>
      <c r="R11" s="57" t="inlineStr">
        <is>
          <t>M2</t>
        </is>
      </c>
      <c r="S11" s="57" t="inlineStr">
        <is>
          <t>STA1</t>
        </is>
      </c>
      <c r="T11" s="57" t="inlineStr">
        <is>
          <t>N1</t>
        </is>
      </c>
      <c r="U11" s="57" t="inlineStr">
        <is>
          <t>N2</t>
        </is>
      </c>
      <c r="V11" s="57" t="inlineStr">
        <is>
          <t>O1</t>
        </is>
      </c>
      <c r="W11" s="57" t="inlineStr">
        <is>
          <t>O2</t>
        </is>
      </c>
      <c r="X11" s="57" t="inlineStr">
        <is>
          <t>O3</t>
        </is>
      </c>
      <c r="Y11" s="57" t="inlineStr">
        <is>
          <t>M1</t>
        </is>
      </c>
      <c r="Z11" s="57" t="inlineStr">
        <is>
          <t>STA2</t>
        </is>
      </c>
      <c r="AA11" s="57" t="inlineStr">
        <is>
          <t>A3</t>
        </is>
      </c>
      <c r="AB11" s="57" t="inlineStr">
        <is>
          <t>N1</t>
        </is>
      </c>
      <c r="AC11" s="57" t="inlineStr">
        <is>
          <t>N2</t>
        </is>
      </c>
      <c r="AD11" s="57" t="inlineStr">
        <is>
          <t>O1</t>
        </is>
      </c>
      <c r="AE11" s="57" t="inlineStr">
        <is>
          <t>O2</t>
        </is>
      </c>
      <c r="AF11" s="57" t="inlineStr">
        <is>
          <t>O3</t>
        </is>
      </c>
      <c r="AG11" s="57" t="inlineStr">
        <is>
          <t>STA1</t>
        </is>
      </c>
      <c r="AH11" s="25" t="inlineStr">
        <is>
          <t>A2</t>
        </is>
      </c>
      <c r="AI11" s="19" t="n"/>
      <c r="AK11" s="56">
        <f>COUNTIF($E11:$AI11,"ST*")</f>
        <v/>
      </c>
      <c r="AL11" s="56">
        <f>COUNTIF($E11:$AI11,"M*")</f>
        <v/>
      </c>
      <c r="AM11" s="56">
        <f>COUNTIF($E11:$AI11,"A*")</f>
        <v/>
      </c>
      <c r="AN11" s="56">
        <f>COUNTIF($E11:$AI11,"N*")</f>
        <v/>
      </c>
      <c r="AO11" s="56">
        <f>COUNTIF($E11:$AI11,"O*")</f>
        <v/>
      </c>
    </row>
    <row r="12" ht="18.75" customHeight="1" s="6">
      <c r="B12" s="104" t="inlineStr">
        <is>
          <t>Staff 8</t>
        </is>
      </c>
      <c r="C12" s="134" t="n"/>
      <c r="E12" s="57" t="inlineStr">
        <is>
          <t>A1</t>
        </is>
      </c>
      <c r="F12" s="57" t="inlineStr">
        <is>
          <t>N1</t>
        </is>
      </c>
      <c r="G12" s="57" t="inlineStr">
        <is>
          <t>N2</t>
        </is>
      </c>
      <c r="H12" s="57" t="inlineStr">
        <is>
          <t>O1</t>
        </is>
      </c>
      <c r="I12" s="57" t="inlineStr">
        <is>
          <t>O2</t>
        </is>
      </c>
      <c r="J12" s="57" t="inlineStr">
        <is>
          <t>O3</t>
        </is>
      </c>
      <c r="K12" s="57" t="inlineStr">
        <is>
          <t>A1</t>
        </is>
      </c>
      <c r="L12" s="57" t="inlineStr">
        <is>
          <t>A2</t>
        </is>
      </c>
      <c r="M12" s="57" t="inlineStr">
        <is>
          <t>A3</t>
        </is>
      </c>
      <c r="N12" s="57" t="inlineStr">
        <is>
          <t>N1</t>
        </is>
      </c>
      <c r="O12" s="57" t="inlineStr">
        <is>
          <t>N2</t>
        </is>
      </c>
      <c r="P12" s="57" t="inlineStr">
        <is>
          <t>O1</t>
        </is>
      </c>
      <c r="Q12" s="57" t="inlineStr">
        <is>
          <t>O2</t>
        </is>
      </c>
      <c r="R12" s="57" t="inlineStr">
        <is>
          <t>O3</t>
        </is>
      </c>
      <c r="S12" s="57" t="inlineStr">
        <is>
          <t>A1</t>
        </is>
      </c>
      <c r="T12" s="57" t="inlineStr">
        <is>
          <t>A2</t>
        </is>
      </c>
      <c r="U12" s="57" t="inlineStr">
        <is>
          <t>A3</t>
        </is>
      </c>
      <c r="V12" s="57" t="inlineStr">
        <is>
          <t>N1</t>
        </is>
      </c>
      <c r="W12" s="57" t="inlineStr">
        <is>
          <t>N2</t>
        </is>
      </c>
      <c r="X12" s="57" t="inlineStr">
        <is>
          <t>O1</t>
        </is>
      </c>
      <c r="Y12" s="57" t="inlineStr">
        <is>
          <t>O2</t>
        </is>
      </c>
      <c r="Z12" s="57" t="inlineStr">
        <is>
          <t>O3</t>
        </is>
      </c>
      <c r="AA12" s="57" t="inlineStr">
        <is>
          <t>A1</t>
        </is>
      </c>
      <c r="AB12" s="57" t="inlineStr">
        <is>
          <t>STA2</t>
        </is>
      </c>
      <c r="AC12" s="57" t="inlineStr">
        <is>
          <t>A1</t>
        </is>
      </c>
      <c r="AD12" s="57" t="inlineStr">
        <is>
          <t>N1N</t>
        </is>
      </c>
      <c r="AE12" s="57" t="inlineStr">
        <is>
          <t>N2</t>
        </is>
      </c>
      <c r="AF12" s="57" t="inlineStr">
        <is>
          <t>O1</t>
        </is>
      </c>
      <c r="AG12" s="57" t="inlineStr">
        <is>
          <t>O2</t>
        </is>
      </c>
      <c r="AH12" s="25" t="inlineStr">
        <is>
          <t>O3</t>
        </is>
      </c>
      <c r="AI12" s="19" t="n"/>
      <c r="AK12" s="56">
        <f>COUNTIF($E12:$AI12,"ST*")</f>
        <v/>
      </c>
      <c r="AL12" s="56">
        <f>COUNTIF($E12:$AI12,"M*")</f>
        <v/>
      </c>
      <c r="AM12" s="56">
        <f>COUNTIF($E12:$AI12,"A*")</f>
        <v/>
      </c>
      <c r="AN12" s="56">
        <f>COUNTIF($E12:$AI12,"N*")</f>
        <v/>
      </c>
      <c r="AO12" s="56">
        <f>COUNTIF($E12:$AI12,"O*")</f>
        <v/>
      </c>
    </row>
    <row r="13" ht="18.75" customHeight="1" s="6">
      <c r="B13" s="104" t="inlineStr">
        <is>
          <t>Staff 9</t>
        </is>
      </c>
      <c r="C13" s="134" t="n"/>
      <c r="E13" s="57" t="inlineStr">
        <is>
          <t>M1</t>
        </is>
      </c>
      <c r="F13" s="57" t="inlineStr">
        <is>
          <t>STA1</t>
        </is>
      </c>
      <c r="G13" s="57" t="inlineStr">
        <is>
          <t>A2</t>
        </is>
      </c>
      <c r="H13" s="57" t="inlineStr">
        <is>
          <t>N1</t>
        </is>
      </c>
      <c r="I13" s="57" t="inlineStr">
        <is>
          <t>O1</t>
        </is>
      </c>
      <c r="J13" s="57" t="inlineStr">
        <is>
          <t>O2</t>
        </is>
      </c>
      <c r="K13" s="57" t="inlineStr">
        <is>
          <t>O3</t>
        </is>
      </c>
      <c r="L13" s="57" t="inlineStr">
        <is>
          <t>STM1</t>
        </is>
      </c>
      <c r="M13" s="57" t="inlineStr">
        <is>
          <t>M2</t>
        </is>
      </c>
      <c r="N13" s="57" t="inlineStr">
        <is>
          <t>A1</t>
        </is>
      </c>
      <c r="O13" s="57" t="inlineStr">
        <is>
          <t>STA2</t>
        </is>
      </c>
      <c r="P13" s="57" t="inlineStr">
        <is>
          <t>N1</t>
        </is>
      </c>
      <c r="Q13" s="57" t="inlineStr">
        <is>
          <t>O1</t>
        </is>
      </c>
      <c r="R13" s="57" t="inlineStr">
        <is>
          <t>O2</t>
        </is>
      </c>
      <c r="S13" s="57" t="inlineStr">
        <is>
          <t>O3</t>
        </is>
      </c>
      <c r="T13" s="57" t="inlineStr">
        <is>
          <t>M1</t>
        </is>
      </c>
      <c r="U13" s="57" t="inlineStr">
        <is>
          <t>STM2</t>
        </is>
      </c>
      <c r="V13" s="57" t="inlineStr">
        <is>
          <t>A1</t>
        </is>
      </c>
      <c r="W13" s="57" t="inlineStr">
        <is>
          <t>STA2</t>
        </is>
      </c>
      <c r="X13" s="57" t="inlineStr">
        <is>
          <t>N1</t>
        </is>
      </c>
      <c r="Y13" s="57" t="inlineStr">
        <is>
          <t>O1</t>
        </is>
      </c>
      <c r="Z13" s="57" t="inlineStr">
        <is>
          <t>O2</t>
        </is>
      </c>
      <c r="AA13" s="57" t="inlineStr">
        <is>
          <t>O3</t>
        </is>
      </c>
      <c r="AB13" s="57" t="inlineStr">
        <is>
          <t>M1</t>
        </is>
      </c>
      <c r="AC13" s="57" t="inlineStr">
        <is>
          <t>M2</t>
        </is>
      </c>
      <c r="AD13" s="57" t="inlineStr">
        <is>
          <t>STA1</t>
        </is>
      </c>
      <c r="AE13" s="57" t="inlineStr">
        <is>
          <t>A2</t>
        </is>
      </c>
      <c r="AF13" s="57" t="inlineStr">
        <is>
          <t>N1</t>
        </is>
      </c>
      <c r="AG13" s="57" t="inlineStr">
        <is>
          <t>O1</t>
        </is>
      </c>
      <c r="AH13" s="25" t="inlineStr">
        <is>
          <t>O2</t>
        </is>
      </c>
      <c r="AI13" s="19" t="n"/>
      <c r="AK13" s="56">
        <f>COUNTIF($E13:$AI13,"ST*")</f>
        <v/>
      </c>
      <c r="AL13" s="56">
        <f>COUNTIF($E13:$AI13,"M*")</f>
        <v/>
      </c>
      <c r="AM13" s="56">
        <f>COUNTIF($E13:$AI13,"A*")</f>
        <v/>
      </c>
      <c r="AN13" s="56">
        <f>COUNTIF($E13:$AI13,"N*")</f>
        <v/>
      </c>
      <c r="AO13" s="56">
        <f>COUNTIF($E13:$AI13,"O*")</f>
        <v/>
      </c>
    </row>
    <row r="14" ht="18.75" customHeight="1" s="6">
      <c r="B14" s="104" t="inlineStr">
        <is>
          <t>Staff 10</t>
        </is>
      </c>
      <c r="C14" s="134" t="n"/>
      <c r="E14" s="57" t="inlineStr">
        <is>
          <t>STM1</t>
        </is>
      </c>
      <c r="F14" s="57" t="inlineStr">
        <is>
          <t>A1</t>
        </is>
      </c>
      <c r="G14" s="57" t="inlineStr">
        <is>
          <t>A2</t>
        </is>
      </c>
      <c r="H14" s="57" t="inlineStr">
        <is>
          <t>STA3</t>
        </is>
      </c>
      <c r="I14" s="57" t="inlineStr">
        <is>
          <t>N1</t>
        </is>
      </c>
      <c r="J14" s="57" t="inlineStr">
        <is>
          <t>O1</t>
        </is>
      </c>
      <c r="K14" s="57" t="inlineStr">
        <is>
          <t>O2</t>
        </is>
      </c>
      <c r="L14" s="57" t="inlineStr">
        <is>
          <t>O3</t>
        </is>
      </c>
      <c r="M14" s="57" t="inlineStr">
        <is>
          <t>STM1</t>
        </is>
      </c>
      <c r="N14" s="57" t="inlineStr">
        <is>
          <t>A1</t>
        </is>
      </c>
      <c r="O14" s="57" t="inlineStr">
        <is>
          <t>A2</t>
        </is>
      </c>
      <c r="P14" s="57" t="inlineStr">
        <is>
          <t>STA3</t>
        </is>
      </c>
      <c r="Q14" s="57" t="inlineStr">
        <is>
          <t>N1</t>
        </is>
      </c>
      <c r="R14" s="57" t="inlineStr">
        <is>
          <t>O1</t>
        </is>
      </c>
      <c r="S14" s="57" t="inlineStr">
        <is>
          <t>O2</t>
        </is>
      </c>
      <c r="T14" s="57" t="inlineStr">
        <is>
          <t>O3</t>
        </is>
      </c>
      <c r="U14" s="57" t="inlineStr">
        <is>
          <t>STM1</t>
        </is>
      </c>
      <c r="V14" s="57" t="inlineStr">
        <is>
          <t>A1</t>
        </is>
      </c>
      <c r="W14" s="57" t="inlineStr">
        <is>
          <t>A2</t>
        </is>
      </c>
      <c r="X14" s="57" t="inlineStr">
        <is>
          <t>STA3</t>
        </is>
      </c>
      <c r="Y14" s="57" t="inlineStr">
        <is>
          <t>N1</t>
        </is>
      </c>
      <c r="Z14" s="57" t="inlineStr">
        <is>
          <t>O1</t>
        </is>
      </c>
      <c r="AA14" s="57" t="inlineStr">
        <is>
          <t>O2</t>
        </is>
      </c>
      <c r="AB14" s="57" t="inlineStr">
        <is>
          <t>O3</t>
        </is>
      </c>
      <c r="AC14" s="57" t="inlineStr">
        <is>
          <t>STM1</t>
        </is>
      </c>
      <c r="AD14" s="57" t="inlineStr">
        <is>
          <t>A1</t>
        </is>
      </c>
      <c r="AE14" s="57" t="inlineStr">
        <is>
          <t>STA2</t>
        </is>
      </c>
      <c r="AF14" s="57" t="inlineStr">
        <is>
          <t>STA3</t>
        </is>
      </c>
      <c r="AG14" s="57" t="inlineStr">
        <is>
          <t>N1</t>
        </is>
      </c>
      <c r="AH14" s="25" t="inlineStr">
        <is>
          <t>O1</t>
        </is>
      </c>
      <c r="AI14" s="19" t="n"/>
      <c r="AK14" s="56">
        <f>COUNTIF($E14:$AI14,"ST*")</f>
        <v/>
      </c>
      <c r="AL14" s="56">
        <f>COUNTIF($E14:$AI14,"M*")</f>
        <v/>
      </c>
      <c r="AM14" s="56">
        <f>COUNTIF($E14:$AI14,"A*")</f>
        <v/>
      </c>
      <c r="AN14" s="56">
        <f>COUNTIF($E14:$AI14,"N*")</f>
        <v/>
      </c>
      <c r="AO14" s="56">
        <f>COUNTIF($E14:$AI14,"O*")</f>
        <v/>
      </c>
    </row>
    <row r="15" ht="18.75" customHeight="1" s="6">
      <c r="B15" s="104" t="inlineStr">
        <is>
          <t>Staff 11</t>
        </is>
      </c>
      <c r="C15" s="134" t="n"/>
      <c r="E15" s="57" t="inlineStr">
        <is>
          <t>O2</t>
        </is>
      </c>
      <c r="F15" s="57" t="inlineStr">
        <is>
          <t>O3</t>
        </is>
      </c>
      <c r="G15" s="57" t="inlineStr">
        <is>
          <t>STA1</t>
        </is>
      </c>
      <c r="H15" s="57" t="inlineStr">
        <is>
          <t>A2</t>
        </is>
      </c>
      <c r="I15" s="57" t="inlineStr">
        <is>
          <t>STA3</t>
        </is>
      </c>
      <c r="J15" s="57" t="inlineStr">
        <is>
          <t>N1</t>
        </is>
      </c>
      <c r="K15" s="57" t="inlineStr">
        <is>
          <t>N2</t>
        </is>
      </c>
      <c r="L15" s="57" t="inlineStr">
        <is>
          <t>O1</t>
        </is>
      </c>
      <c r="M15" s="57" t="inlineStr">
        <is>
          <t>O2</t>
        </is>
      </c>
      <c r="N15" s="57" t="inlineStr">
        <is>
          <t>O3</t>
        </is>
      </c>
      <c r="O15" s="57" t="inlineStr">
        <is>
          <t>STA1</t>
        </is>
      </c>
      <c r="P15" s="57" t="inlineStr">
        <is>
          <t>A2</t>
        </is>
      </c>
      <c r="Q15" s="57" t="inlineStr">
        <is>
          <t>A3</t>
        </is>
      </c>
      <c r="R15" s="57" t="inlineStr">
        <is>
          <t>N1</t>
        </is>
      </c>
      <c r="S15" s="57" t="inlineStr">
        <is>
          <t>N2</t>
        </is>
      </c>
      <c r="T15" s="57" t="inlineStr">
        <is>
          <t>O1</t>
        </is>
      </c>
      <c r="U15" s="57" t="inlineStr">
        <is>
          <t>O2</t>
        </is>
      </c>
      <c r="V15" s="57" t="inlineStr">
        <is>
          <t>O3</t>
        </is>
      </c>
      <c r="W15" s="57" t="inlineStr">
        <is>
          <t>STM1</t>
        </is>
      </c>
      <c r="X15" s="57" t="inlineStr">
        <is>
          <t>M2</t>
        </is>
      </c>
      <c r="Y15" s="57" t="inlineStr">
        <is>
          <t>A1</t>
        </is>
      </c>
      <c r="Z15" s="57" t="inlineStr">
        <is>
          <t>N1</t>
        </is>
      </c>
      <c r="AA15" s="57" t="inlineStr">
        <is>
          <t>N2</t>
        </is>
      </c>
      <c r="AB15" s="57" t="inlineStr">
        <is>
          <t>O1</t>
        </is>
      </c>
      <c r="AC15" s="57" t="inlineStr">
        <is>
          <t>O2</t>
        </is>
      </c>
      <c r="AD15" s="57" t="inlineStr">
        <is>
          <t>O3</t>
        </is>
      </c>
      <c r="AE15" s="57" t="inlineStr">
        <is>
          <t>M1</t>
        </is>
      </c>
      <c r="AF15" s="57" t="inlineStr">
        <is>
          <t>A2</t>
        </is>
      </c>
      <c r="AG15" s="57" t="inlineStr">
        <is>
          <t>A3</t>
        </is>
      </c>
      <c r="AH15" s="25" t="inlineStr">
        <is>
          <t>N1</t>
        </is>
      </c>
      <c r="AI15" s="19" t="n"/>
      <c r="AK15" s="56">
        <f>COUNTIF($E15:$AI15,"ST*")</f>
        <v/>
      </c>
      <c r="AL15" s="56">
        <f>COUNTIF($E15:$AI15,"M*")</f>
        <v/>
      </c>
      <c r="AM15" s="56">
        <f>COUNTIF($E15:$AI15,"A*")</f>
        <v/>
      </c>
      <c r="AN15" s="56">
        <f>COUNTIF($E15:$AI15,"N*")</f>
        <v/>
      </c>
      <c r="AO15" s="56">
        <f>COUNTIF($E15:$AI15,"O*")</f>
        <v/>
      </c>
    </row>
    <row r="16">
      <c r="E16" s="20" t="inlineStr">
        <is>
          <t xml:space="preserve"> </t>
        </is>
      </c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  <c r="AE16" s="20" t="n"/>
      <c r="AF16" s="20" t="n"/>
      <c r="AG16" s="20" t="n"/>
      <c r="AH16" s="20" t="n"/>
    </row>
    <row r="17" ht="18.75" customHeight="1" s="6">
      <c r="B17" s="90" t="inlineStr">
        <is>
          <t xml:space="preserve">Morning Shift </t>
        </is>
      </c>
      <c r="C17" s="134" t="n"/>
      <c r="D17" s="36" t="n"/>
      <c r="E17" s="37">
        <f>COUNTIF(E$5:E$15,"M*")</f>
        <v/>
      </c>
      <c r="F17" s="37">
        <f>COUNTIF(F$5:F$15,"M*")</f>
        <v/>
      </c>
      <c r="G17" s="37">
        <f>COUNTIF(G$5:G$15,"M*")</f>
        <v/>
      </c>
      <c r="H17" s="37">
        <f>COUNTIF(H$5:H$15,"M*")</f>
        <v/>
      </c>
      <c r="I17" s="37">
        <f>COUNTIF(I$5:I$15,"M*")</f>
        <v/>
      </c>
      <c r="J17" s="37">
        <f>COUNTIF(J$5:J$15,"M*")</f>
        <v/>
      </c>
      <c r="K17" s="37">
        <f>COUNTIF(K$5:K$15,"M*")</f>
        <v/>
      </c>
      <c r="L17" s="37">
        <f>COUNTIF(L$5:L$15,"M*")</f>
        <v/>
      </c>
      <c r="M17" s="37">
        <f>COUNTIF(M$5:M$15,"M*")</f>
        <v/>
      </c>
      <c r="N17" s="37">
        <f>COUNTIF(N$5:N$15,"M*")</f>
        <v/>
      </c>
      <c r="O17" s="37">
        <f>COUNTIF(O$5:O$15,"M*")</f>
        <v/>
      </c>
      <c r="P17" s="37">
        <f>COUNTIF(P$5:P$15,"M*")</f>
        <v/>
      </c>
      <c r="Q17" s="37">
        <f>COUNTIF(Q$5:Q$15,"M*")</f>
        <v/>
      </c>
      <c r="R17" s="37">
        <f>COUNTIF(R$5:R$15,"M*")</f>
        <v/>
      </c>
      <c r="S17" s="37">
        <f>COUNTIF(S$5:S$15,"M*")</f>
        <v/>
      </c>
      <c r="T17" s="37">
        <f>COUNTIF(T$5:T$15,"M*")</f>
        <v/>
      </c>
      <c r="U17" s="37">
        <f>COUNTIF(U$5:U$15,"M*")</f>
        <v/>
      </c>
      <c r="V17" s="37">
        <f>COUNTIF(V$5:V$15,"M*")</f>
        <v/>
      </c>
      <c r="W17" s="37">
        <f>COUNTIF(W$5:W$15,"M*")</f>
        <v/>
      </c>
      <c r="X17" s="37">
        <f>COUNTIF(X$5:X$15,"M*")</f>
        <v/>
      </c>
      <c r="Y17" s="37">
        <f>COUNTIF(Y$5:Y$15,"M*")</f>
        <v/>
      </c>
      <c r="Z17" s="37">
        <f>COUNTIF(Z$5:Z$15,"M*")</f>
        <v/>
      </c>
      <c r="AA17" s="37">
        <f>COUNTIF(AA$5:AA$15,"M*")</f>
        <v/>
      </c>
      <c r="AB17" s="37">
        <f>COUNTIF(AB$5:AB$15,"M*")</f>
        <v/>
      </c>
      <c r="AC17" s="37">
        <f>COUNTIF(AC$5:AC$15,"M*")</f>
        <v/>
      </c>
      <c r="AD17" s="37">
        <f>COUNTIF(AD$5:AD$15,"M*")</f>
        <v/>
      </c>
      <c r="AE17" s="37">
        <f>COUNTIF(AE$5:AE$15,"M*")</f>
        <v/>
      </c>
      <c r="AF17" s="37">
        <f>COUNTIF(AF$5:AF$15,"M*")</f>
        <v/>
      </c>
      <c r="AG17" s="37">
        <f>COUNTIF(AG$5:AG$15,"M*")</f>
        <v/>
      </c>
      <c r="AH17" s="37">
        <f>COUNTIF(AH$5:AH$15,"M*")</f>
        <v/>
      </c>
      <c r="AI17" s="37" t="inlineStr">
        <is>
          <t xml:space="preserve"> </t>
        </is>
      </c>
    </row>
    <row r="18" ht="18.75" customHeight="1" s="6">
      <c r="B18" s="90" t="inlineStr">
        <is>
          <t xml:space="preserve">Afternoon Shift </t>
        </is>
      </c>
      <c r="C18" s="134" t="n"/>
      <c r="D18" s="36" t="n"/>
      <c r="E18" s="37">
        <f>COUNTIF(E$5:E$15,"A*")</f>
        <v/>
      </c>
      <c r="F18" s="37">
        <f>COUNTIF(F$5:F$15,"A*")</f>
        <v/>
      </c>
      <c r="G18" s="37">
        <f>COUNTIF(G$5:G$15,"A*")</f>
        <v/>
      </c>
      <c r="H18" s="37">
        <f>COUNTIF(H$5:H$15,"A*")</f>
        <v/>
      </c>
      <c r="I18" s="37">
        <f>COUNTIF(I$5:I$15,"A*")</f>
        <v/>
      </c>
      <c r="J18" s="37">
        <f>COUNTIF(J$5:J$15,"A*")</f>
        <v/>
      </c>
      <c r="K18" s="37">
        <f>COUNTIF(K$5:K$15,"A*")</f>
        <v/>
      </c>
      <c r="L18" s="37">
        <f>COUNTIF(L$5:L$15,"A*")</f>
        <v/>
      </c>
      <c r="M18" s="37">
        <f>COUNTIF(M$5:M$15,"A*")</f>
        <v/>
      </c>
      <c r="N18" s="37">
        <f>COUNTIF(N$5:N$15,"A*")</f>
        <v/>
      </c>
      <c r="O18" s="37">
        <f>COUNTIF(O$5:O$15,"A*")</f>
        <v/>
      </c>
      <c r="P18" s="37">
        <f>COUNTIF(P$5:P$15,"A*")</f>
        <v/>
      </c>
      <c r="Q18" s="37">
        <f>COUNTIF(Q$5:Q$15,"A*")</f>
        <v/>
      </c>
      <c r="R18" s="37">
        <f>COUNTIF(R$5:R$15,"A*")</f>
        <v/>
      </c>
      <c r="S18" s="37">
        <f>COUNTIF(S$5:S$15,"A*")</f>
        <v/>
      </c>
      <c r="T18" s="37">
        <f>COUNTIF(T$5:T$15,"A*")</f>
        <v/>
      </c>
      <c r="U18" s="37">
        <f>COUNTIF(U$5:U$15,"A*")</f>
        <v/>
      </c>
      <c r="V18" s="37">
        <f>COUNTIF(V$5:V$15,"A*")</f>
        <v/>
      </c>
      <c r="W18" s="37">
        <f>COUNTIF(W$5:W$15,"A*")</f>
        <v/>
      </c>
      <c r="X18" s="37">
        <f>COUNTIF(X$5:X$15,"A*")</f>
        <v/>
      </c>
      <c r="Y18" s="37">
        <f>COUNTIF(Y$5:Y$15,"A*")</f>
        <v/>
      </c>
      <c r="Z18" s="37">
        <f>COUNTIF(Z$5:Z$15,"A*")</f>
        <v/>
      </c>
      <c r="AA18" s="37">
        <f>COUNTIF(AA$5:AA$15,"A*")</f>
        <v/>
      </c>
      <c r="AB18" s="37">
        <f>COUNTIF(AB$5:AB$15,"A*")</f>
        <v/>
      </c>
      <c r="AC18" s="37">
        <f>COUNTIF(AC$5:AC$15,"A*")</f>
        <v/>
      </c>
      <c r="AD18" s="37">
        <f>COUNTIF(AD$5:AD$15,"A*")</f>
        <v/>
      </c>
      <c r="AE18" s="37">
        <f>COUNTIF(AE$5:AE$15,"A*")</f>
        <v/>
      </c>
      <c r="AF18" s="37">
        <f>COUNTIF(AF$5:AF$15,"A*")</f>
        <v/>
      </c>
      <c r="AG18" s="37">
        <f>COUNTIF(AG$5:AG$15,"A*")</f>
        <v/>
      </c>
      <c r="AH18" s="37">
        <f>COUNTIF(AH$5:AH$15,"A*")</f>
        <v/>
      </c>
      <c r="AI18" s="37" t="inlineStr">
        <is>
          <t xml:space="preserve"> </t>
        </is>
      </c>
    </row>
    <row r="19" ht="18.75" customHeight="1" s="6">
      <c r="B19" s="90" t="inlineStr">
        <is>
          <t xml:space="preserve">Night Shift </t>
        </is>
      </c>
      <c r="C19" s="134" t="n"/>
      <c r="D19" s="36" t="n"/>
      <c r="E19" s="37">
        <f>COUNTIF(E$5:E$15,"N*")</f>
        <v/>
      </c>
      <c r="F19" s="37">
        <f>COUNTIF(F$5:F$15,"N*")</f>
        <v/>
      </c>
      <c r="G19" s="37">
        <f>COUNTIF(G$5:G$15,"N*")</f>
        <v/>
      </c>
      <c r="H19" s="37">
        <f>COUNTIF(H$5:H$15,"N*")</f>
        <v/>
      </c>
      <c r="I19" s="37">
        <f>COUNTIF(I$5:I$15,"N*")</f>
        <v/>
      </c>
      <c r="J19" s="37">
        <f>COUNTIF(J$5:J$15,"N*")</f>
        <v/>
      </c>
      <c r="K19" s="37">
        <f>COUNTIF(K$5:K$15,"N*")</f>
        <v/>
      </c>
      <c r="L19" s="37">
        <f>COUNTIF(L$5:L$15,"N*")</f>
        <v/>
      </c>
      <c r="M19" s="37">
        <f>COUNTIF(M$5:M$15,"N*")</f>
        <v/>
      </c>
      <c r="N19" s="37">
        <f>COUNTIF(N$5:N$15,"N*")</f>
        <v/>
      </c>
      <c r="O19" s="37">
        <f>COUNTIF(O$5:O$15,"N*")</f>
        <v/>
      </c>
      <c r="P19" s="37">
        <f>COUNTIF(P$5:P$15,"N*")</f>
        <v/>
      </c>
      <c r="Q19" s="37">
        <f>COUNTIF(Q$5:Q$15,"N*")</f>
        <v/>
      </c>
      <c r="R19" s="37">
        <f>COUNTIF(R$5:R$15,"N*")</f>
        <v/>
      </c>
      <c r="S19" s="37">
        <f>COUNTIF(S$5:S$15,"N*")</f>
        <v/>
      </c>
      <c r="T19" s="37">
        <f>COUNTIF(T$5:T$15,"N*")</f>
        <v/>
      </c>
      <c r="U19" s="37">
        <f>COUNTIF(U$5:U$15,"N*")</f>
        <v/>
      </c>
      <c r="V19" s="37">
        <f>COUNTIF(V$5:V$15,"N*")</f>
        <v/>
      </c>
      <c r="W19" s="37">
        <f>COUNTIF(W$5:W$15,"N*")</f>
        <v/>
      </c>
      <c r="X19" s="37">
        <f>COUNTIF(X$5:X$15,"N*")</f>
        <v/>
      </c>
      <c r="Y19" s="37">
        <f>COUNTIF(Y$5:Y$15,"N*")</f>
        <v/>
      </c>
      <c r="Z19" s="37">
        <f>COUNTIF(Z$5:Z$15,"N*")</f>
        <v/>
      </c>
      <c r="AA19" s="37">
        <f>COUNTIF(AA$5:AA$15,"N*")</f>
        <v/>
      </c>
      <c r="AB19" s="37">
        <f>COUNTIF(AB$5:AB$15,"N*")</f>
        <v/>
      </c>
      <c r="AC19" s="37">
        <f>COUNTIF(AC$5:AC$15,"N*")</f>
        <v/>
      </c>
      <c r="AD19" s="37">
        <f>COUNTIF(AD$5:AD$15,"N*")</f>
        <v/>
      </c>
      <c r="AE19" s="37">
        <f>COUNTIF(AE$5:AE$15,"N*")</f>
        <v/>
      </c>
      <c r="AF19" s="37">
        <f>COUNTIF(AF$5:AF$15,"N*")</f>
        <v/>
      </c>
      <c r="AG19" s="37">
        <f>COUNTIF(AG$5:AG$15,"N*")</f>
        <v/>
      </c>
      <c r="AH19" s="37">
        <f>COUNTIF(AH$5:AH$15,"N*")</f>
        <v/>
      </c>
      <c r="AI19" s="37" t="inlineStr">
        <is>
          <t xml:space="preserve"> </t>
        </is>
      </c>
    </row>
    <row r="20" ht="18.75" customHeight="1" s="6">
      <c r="B20" s="90" t="inlineStr">
        <is>
          <t>Offday</t>
        </is>
      </c>
      <c r="C20" s="134" t="n"/>
      <c r="D20" s="36" t="n"/>
      <c r="E20" s="37">
        <f>COUNTIF(E$5:E$15,"O*")</f>
        <v/>
      </c>
      <c r="F20" s="37">
        <f>COUNTIF(F$5:F$15,"O*")</f>
        <v/>
      </c>
      <c r="G20" s="37">
        <f>COUNTIF(G$5:G$15,"O*")</f>
        <v/>
      </c>
      <c r="H20" s="37">
        <f>COUNTIF(H$5:H$15,"O*")</f>
        <v/>
      </c>
      <c r="I20" s="37">
        <f>COUNTIF(I$5:I$15,"O*")</f>
        <v/>
      </c>
      <c r="J20" s="37">
        <f>COUNTIF(J$5:J$15,"O*")</f>
        <v/>
      </c>
      <c r="K20" s="37">
        <f>COUNTIF(K$5:K$15,"O*")</f>
        <v/>
      </c>
      <c r="L20" s="37">
        <f>COUNTIF(L$5:L$15,"O*")</f>
        <v/>
      </c>
      <c r="M20" s="37">
        <f>COUNTIF(M$5:M$15,"O*")</f>
        <v/>
      </c>
      <c r="N20" s="37">
        <f>COUNTIF(N$5:N$15,"O*")</f>
        <v/>
      </c>
      <c r="O20" s="37">
        <f>COUNTIF(O$5:O$15,"O*")</f>
        <v/>
      </c>
      <c r="P20" s="37">
        <f>COUNTIF(P$5:P$15,"O*")</f>
        <v/>
      </c>
      <c r="Q20" s="37">
        <f>COUNTIF(Q$5:Q$15,"O*")</f>
        <v/>
      </c>
      <c r="R20" s="37">
        <f>COUNTIF(R$5:R$15,"O*")</f>
        <v/>
      </c>
      <c r="S20" s="37">
        <f>COUNTIF(S$5:S$15,"O*")</f>
        <v/>
      </c>
      <c r="T20" s="37">
        <f>COUNTIF(T$5:T$15,"O*")</f>
        <v/>
      </c>
      <c r="U20" s="37">
        <f>COUNTIF(U$5:U$15,"O*")</f>
        <v/>
      </c>
      <c r="V20" s="37">
        <f>COUNTIF(V$5:V$15,"O*")</f>
        <v/>
      </c>
      <c r="W20" s="37">
        <f>COUNTIF(W$5:W$15,"O*")</f>
        <v/>
      </c>
      <c r="X20" s="37">
        <f>COUNTIF(X$5:X$15,"O*")</f>
        <v/>
      </c>
      <c r="Y20" s="37">
        <f>COUNTIF(Y$5:Y$15,"O*")</f>
        <v/>
      </c>
      <c r="Z20" s="37">
        <f>COUNTIF(Z$5:Z$15,"O*")</f>
        <v/>
      </c>
      <c r="AA20" s="37">
        <f>COUNTIF(AA$5:AA$15,"O*")</f>
        <v/>
      </c>
      <c r="AB20" s="37">
        <f>COUNTIF(AB$5:AB$15,"O*")</f>
        <v/>
      </c>
      <c r="AC20" s="37">
        <f>COUNTIF(AC$5:AC$15,"O*")</f>
        <v/>
      </c>
      <c r="AD20" s="37">
        <f>COUNTIF(AD$5:AD$15,"O*")</f>
        <v/>
      </c>
      <c r="AE20" s="37">
        <f>COUNTIF(AE$5:AE$15,"O*")</f>
        <v/>
      </c>
      <c r="AF20" s="37">
        <f>COUNTIF(AF$5:AF$15,"O*")</f>
        <v/>
      </c>
      <c r="AG20" s="37">
        <f>COUNTIF(AG$5:AG$15,"O*")</f>
        <v/>
      </c>
      <c r="AH20" s="37">
        <f>COUNTIF(AH$5:AH$15,"O*")</f>
        <v/>
      </c>
      <c r="AI20" s="37" t="inlineStr">
        <is>
          <t xml:space="preserve"> </t>
        </is>
      </c>
    </row>
    <row r="21" ht="18.75" customHeight="1" s="6">
      <c r="B21" s="90" t="inlineStr">
        <is>
          <t>Standby Staffs</t>
        </is>
      </c>
      <c r="C21" s="134" t="n"/>
      <c r="D21" s="36" t="n"/>
      <c r="E21" s="37">
        <f>COUNTIF(E$5:E$15,"ST*")</f>
        <v/>
      </c>
      <c r="F21" s="37">
        <f>COUNTIF(F$5:F$15,"ST*")</f>
        <v/>
      </c>
      <c r="G21" s="37">
        <f>COUNTIF(G$5:G$15,"ST*")</f>
        <v/>
      </c>
      <c r="H21" s="37">
        <f>COUNTIF(H$5:H$15,"ST*")</f>
        <v/>
      </c>
      <c r="I21" s="37">
        <f>COUNTIF(I$5:I$15,"ST*")</f>
        <v/>
      </c>
      <c r="J21" s="37">
        <f>COUNTIF(J$5:J$15,"ST*")</f>
        <v/>
      </c>
      <c r="K21" s="37">
        <f>COUNTIF(K$5:K$15,"ST*")</f>
        <v/>
      </c>
      <c r="L21" s="37">
        <f>COUNTIF(L$5:L$15,"ST*")</f>
        <v/>
      </c>
      <c r="M21" s="37">
        <f>COUNTIF(M$5:M$15,"ST*")</f>
        <v/>
      </c>
      <c r="N21" s="37">
        <f>COUNTIF(N$5:N$15,"ST*")</f>
        <v/>
      </c>
      <c r="O21" s="37">
        <f>COUNTIF(O$5:O$15,"ST*")</f>
        <v/>
      </c>
      <c r="P21" s="37">
        <f>COUNTIF(P$5:P$15,"ST*")</f>
        <v/>
      </c>
      <c r="Q21" s="37">
        <f>COUNTIF(Q$5:Q$15,"ST*")</f>
        <v/>
      </c>
      <c r="R21" s="37">
        <f>COUNTIF(R$5:R$15,"ST*")</f>
        <v/>
      </c>
      <c r="S21" s="37">
        <f>COUNTIF(S$5:S$15,"ST*")</f>
        <v/>
      </c>
      <c r="T21" s="37">
        <f>COUNTIF(T$5:T$15,"ST*")</f>
        <v/>
      </c>
      <c r="U21" s="37">
        <f>COUNTIF(U$5:U$15,"ST*")</f>
        <v/>
      </c>
      <c r="V21" s="37">
        <f>COUNTIF(V$5:V$15,"ST*")</f>
        <v/>
      </c>
      <c r="W21" s="37">
        <f>COUNTIF(W$5:W$15,"ST*")</f>
        <v/>
      </c>
      <c r="X21" s="37">
        <f>COUNTIF(X$5:X$15,"ST*")</f>
        <v/>
      </c>
      <c r="Y21" s="37">
        <f>COUNTIF(Y$5:Y$15,"ST*")</f>
        <v/>
      </c>
      <c r="Z21" s="37">
        <f>COUNTIF(Z$5:Z$15,"ST*")</f>
        <v/>
      </c>
      <c r="AA21" s="37">
        <f>COUNTIF(AA$5:AA$15,"ST*")</f>
        <v/>
      </c>
      <c r="AB21" s="37">
        <f>COUNTIF(AB$5:AB$15,"ST*")</f>
        <v/>
      </c>
      <c r="AC21" s="37">
        <f>COUNTIF(AC$5:AC$15,"ST*")</f>
        <v/>
      </c>
      <c r="AD21" s="37">
        <f>COUNTIF(AD$5:AD$15,"ST*")</f>
        <v/>
      </c>
      <c r="AE21" s="37">
        <f>COUNTIF(AE$5:AE$15,"ST*")</f>
        <v/>
      </c>
      <c r="AF21" s="37">
        <f>COUNTIF(AF$5:AF$15,"ST*")</f>
        <v/>
      </c>
      <c r="AG21" s="37">
        <f>COUNTIF(AG$5:AG$15,"ST*")</f>
        <v/>
      </c>
      <c r="AH21" s="37">
        <f>COUNTIF(AH$5:AH$15,"ST*")</f>
        <v/>
      </c>
      <c r="AI21" s="37" t="inlineStr">
        <is>
          <t xml:space="preserve"> </t>
        </is>
      </c>
    </row>
    <row r="22" ht="18.75" customHeight="1" s="6">
      <c r="B22" s="88" t="inlineStr">
        <is>
          <t>Extra Staffs</t>
        </is>
      </c>
      <c r="C22" s="134" t="n"/>
      <c r="D22" s="38" t="n"/>
      <c r="E22" s="59">
        <f>E24-E25</f>
        <v/>
      </c>
      <c r="F22" s="59">
        <f>F24-F25</f>
        <v/>
      </c>
      <c r="G22" s="59">
        <f>G24-G25</f>
        <v/>
      </c>
      <c r="H22" s="59">
        <f>H24-H25</f>
        <v/>
      </c>
      <c r="I22" s="59">
        <f>I24-I25</f>
        <v/>
      </c>
      <c r="J22" s="59">
        <f>J24-J25</f>
        <v/>
      </c>
      <c r="K22" s="59">
        <f>K24-K25</f>
        <v/>
      </c>
      <c r="L22" s="59">
        <f>L24-L25</f>
        <v/>
      </c>
      <c r="M22" s="59">
        <f>M24-M25</f>
        <v/>
      </c>
      <c r="N22" s="59">
        <f>N24-N25</f>
        <v/>
      </c>
      <c r="O22" s="59">
        <f>O24-O25</f>
        <v/>
      </c>
      <c r="P22" s="59">
        <f>P24-P25</f>
        <v/>
      </c>
      <c r="Q22" s="59">
        <f>Q24-Q25</f>
        <v/>
      </c>
      <c r="R22" s="59">
        <f>R24-R25</f>
        <v/>
      </c>
      <c r="S22" s="59">
        <f>S24-S25</f>
        <v/>
      </c>
      <c r="T22" s="59">
        <f>T24-T25</f>
        <v/>
      </c>
      <c r="U22" s="59">
        <f>U24-U25</f>
        <v/>
      </c>
      <c r="V22" s="59">
        <f>V24-V25</f>
        <v/>
      </c>
      <c r="W22" s="59">
        <f>W24-W25</f>
        <v/>
      </c>
      <c r="X22" s="59">
        <f>X24-X25</f>
        <v/>
      </c>
      <c r="Y22" s="59">
        <f>Y24-Y25</f>
        <v/>
      </c>
      <c r="Z22" s="59">
        <f>Z24-Z25</f>
        <v/>
      </c>
      <c r="AA22" s="59">
        <f>AA24-AA25</f>
        <v/>
      </c>
      <c r="AB22" s="59">
        <f>AB24-AB25</f>
        <v/>
      </c>
      <c r="AC22" s="59">
        <f>AC24-AC25</f>
        <v/>
      </c>
      <c r="AD22" s="59">
        <f>AD24-AD25</f>
        <v/>
      </c>
      <c r="AE22" s="59">
        <f>AE24-AE25</f>
        <v/>
      </c>
      <c r="AF22" s="59">
        <f>AF24-AF25</f>
        <v/>
      </c>
      <c r="AG22" s="59">
        <f>AG24-AG25</f>
        <v/>
      </c>
      <c r="AH22" s="59">
        <f>AH24-AH25</f>
        <v/>
      </c>
      <c r="AI22" s="59" t="inlineStr">
        <is>
          <t xml:space="preserve"> </t>
        </is>
      </c>
    </row>
    <row r="23" ht="9.75" customHeight="1" s="6">
      <c r="B23" s="40" t="n"/>
      <c r="C23" s="40" t="n"/>
      <c r="D23" s="36" t="n"/>
      <c r="E23" s="89" t="n"/>
      <c r="F23" s="133" t="n"/>
      <c r="G23" s="133" t="n"/>
      <c r="H23" s="133" t="n"/>
      <c r="I23" s="133" t="n"/>
      <c r="J23" s="133" t="n"/>
      <c r="K23" s="133" t="n"/>
      <c r="L23" s="133" t="n"/>
      <c r="M23" s="133" t="n"/>
      <c r="N23" s="133" t="n"/>
      <c r="O23" s="133" t="n"/>
      <c r="P23" s="133" t="n"/>
      <c r="Q23" s="133" t="n"/>
      <c r="R23" s="133" t="n"/>
      <c r="S23" s="133" t="n"/>
      <c r="T23" s="133" t="n"/>
      <c r="U23" s="133" t="n"/>
      <c r="V23" s="133" t="n"/>
      <c r="W23" s="133" t="n"/>
      <c r="X23" s="133" t="n"/>
      <c r="Y23" s="133" t="n"/>
      <c r="Z23" s="133" t="n"/>
      <c r="AA23" s="133" t="n"/>
      <c r="AB23" s="133" t="n"/>
      <c r="AC23" s="133" t="n"/>
      <c r="AD23" s="133" t="n"/>
      <c r="AE23" s="133" t="n"/>
      <c r="AF23" s="133" t="n"/>
      <c r="AG23" s="133" t="n"/>
      <c r="AH23" s="133" t="n"/>
      <c r="AI23" s="133" t="n"/>
    </row>
    <row r="24" ht="18.75" customHeight="1" s="6">
      <c r="B24" s="90" t="inlineStr">
        <is>
          <t xml:space="preserve">On duty </t>
        </is>
      </c>
      <c r="C24" s="134" t="n"/>
      <c r="D24" s="36" t="n"/>
      <c r="E24" s="41">
        <f>SUM(E17:E19)</f>
        <v/>
      </c>
      <c r="F24" s="41">
        <f>SUM(F17:F19)</f>
        <v/>
      </c>
      <c r="G24" s="41">
        <f>SUM(G17:G19)</f>
        <v/>
      </c>
      <c r="H24" s="41">
        <f>SUM(H17:H19)</f>
        <v/>
      </c>
      <c r="I24" s="41">
        <f>SUM(I17:I19)</f>
        <v/>
      </c>
      <c r="J24" s="41">
        <f>SUM(J17:J19)</f>
        <v/>
      </c>
      <c r="K24" s="41">
        <f>SUM(K17:K19)</f>
        <v/>
      </c>
      <c r="L24" s="41">
        <f>SUM(L17:L19)</f>
        <v/>
      </c>
      <c r="M24" s="41">
        <f>SUM(M17:M19)</f>
        <v/>
      </c>
      <c r="N24" s="41">
        <f>SUM(N17:N19)</f>
        <v/>
      </c>
      <c r="O24" s="41">
        <f>SUM(O17:O19)</f>
        <v/>
      </c>
      <c r="P24" s="41">
        <f>SUM(P17:P19)</f>
        <v/>
      </c>
      <c r="Q24" s="41">
        <f>SUM(Q17:Q19)</f>
        <v/>
      </c>
      <c r="R24" s="41">
        <f>SUM(R17:R19)</f>
        <v/>
      </c>
      <c r="S24" s="41">
        <f>SUM(S17:S19)</f>
        <v/>
      </c>
      <c r="T24" s="41">
        <f>SUM(T17:T19)</f>
        <v/>
      </c>
      <c r="U24" s="41">
        <f>SUM(U17:U19)</f>
        <v/>
      </c>
      <c r="V24" s="41">
        <f>SUM(V17:V19)</f>
        <v/>
      </c>
      <c r="W24" s="41">
        <f>SUM(W17:W19)</f>
        <v/>
      </c>
      <c r="X24" s="41">
        <f>SUM(X17:X19)</f>
        <v/>
      </c>
      <c r="Y24" s="41">
        <f>SUM(Y17:Y19)</f>
        <v/>
      </c>
      <c r="Z24" s="41">
        <f>SUM(Z17:Z19)</f>
        <v/>
      </c>
      <c r="AA24" s="41">
        <f>SUM(AA17:AA19)</f>
        <v/>
      </c>
      <c r="AB24" s="41">
        <f>SUM(AB17:AB19)</f>
        <v/>
      </c>
      <c r="AC24" s="41">
        <f>SUM(AC17:AC19)</f>
        <v/>
      </c>
      <c r="AD24" s="41">
        <f>SUM(AD17:AD19)</f>
        <v/>
      </c>
      <c r="AE24" s="41">
        <f>SUM(AE17:AE19)</f>
        <v/>
      </c>
      <c r="AF24" s="41">
        <f>SUM(AF17:AF19)</f>
        <v/>
      </c>
      <c r="AG24" s="41">
        <f>SUM(AG17:AG19)</f>
        <v/>
      </c>
      <c r="AH24" s="41">
        <f>SUM(AH17:AH19)</f>
        <v/>
      </c>
      <c r="AI24" s="41" t="inlineStr">
        <is>
          <t xml:space="preserve"> </t>
        </is>
      </c>
    </row>
    <row r="25" ht="18.75" customHeight="1" s="6">
      <c r="B25" s="90" t="inlineStr">
        <is>
          <t xml:space="preserve">Minimum Requirement </t>
        </is>
      </c>
      <c r="C25" s="134" t="n"/>
      <c r="D25" s="36" t="n"/>
      <c r="E25" s="37" t="n">
        <v>7</v>
      </c>
      <c r="F25" s="37" t="n">
        <v>7</v>
      </c>
      <c r="G25" s="37" t="n">
        <v>7</v>
      </c>
      <c r="H25" s="37" t="n">
        <v>7</v>
      </c>
      <c r="I25" s="37" t="n">
        <v>3</v>
      </c>
      <c r="J25" s="37" t="n">
        <v>3</v>
      </c>
      <c r="K25" s="37" t="n">
        <v>7</v>
      </c>
      <c r="L25" s="37" t="n">
        <v>7</v>
      </c>
      <c r="M25" s="37" t="n">
        <v>7</v>
      </c>
      <c r="N25" s="37" t="n">
        <v>7</v>
      </c>
      <c r="O25" s="37" t="n">
        <v>7</v>
      </c>
      <c r="P25" s="37" t="n">
        <v>3</v>
      </c>
      <c r="Q25" s="37" t="n">
        <v>3</v>
      </c>
      <c r="R25" s="37" t="n">
        <v>7</v>
      </c>
      <c r="S25" s="37" t="n">
        <v>7</v>
      </c>
      <c r="T25" s="37" t="n">
        <v>7</v>
      </c>
      <c r="U25" s="37" t="n">
        <v>7</v>
      </c>
      <c r="V25" s="37" t="n">
        <v>7</v>
      </c>
      <c r="W25" s="37" t="n">
        <v>3</v>
      </c>
      <c r="X25" s="37" t="n">
        <v>3</v>
      </c>
      <c r="Y25" s="37" t="n">
        <v>7</v>
      </c>
      <c r="Z25" s="37" t="n">
        <v>7</v>
      </c>
      <c r="AA25" s="37" t="n">
        <v>7</v>
      </c>
      <c r="AB25" s="37" t="n">
        <v>7</v>
      </c>
      <c r="AC25" s="37" t="n">
        <v>7</v>
      </c>
      <c r="AD25" s="37" t="n">
        <v>3</v>
      </c>
      <c r="AE25" s="37" t="n">
        <v>3</v>
      </c>
      <c r="AF25" s="37" t="n">
        <v>7</v>
      </c>
      <c r="AG25" s="37" t="n">
        <v>7</v>
      </c>
      <c r="AH25" s="37" t="n">
        <v>7</v>
      </c>
      <c r="AI25" s="37" t="inlineStr">
        <is>
          <t xml:space="preserve"> </t>
        </is>
      </c>
    </row>
    <row r="26" ht="18.75" customHeight="1" s="6">
      <c r="B26" s="90" t="inlineStr">
        <is>
          <t xml:space="preserve">Total Staffs  </t>
        </is>
      </c>
      <c r="C26" s="134" t="n"/>
      <c r="D26" s="36" t="n"/>
      <c r="E26" s="37" t="n">
        <v>11</v>
      </c>
      <c r="F26" s="37" t="n">
        <v>11</v>
      </c>
      <c r="G26" s="37" t="n">
        <v>11</v>
      </c>
      <c r="H26" s="37" t="n">
        <v>11</v>
      </c>
      <c r="I26" s="37" t="n">
        <v>11</v>
      </c>
      <c r="J26" s="37" t="n">
        <v>11</v>
      </c>
      <c r="K26" s="37" t="n">
        <v>11</v>
      </c>
      <c r="L26" s="37" t="n">
        <v>11</v>
      </c>
      <c r="M26" s="37" t="n">
        <v>11</v>
      </c>
      <c r="N26" s="37" t="n">
        <v>11</v>
      </c>
      <c r="O26" s="37" t="n">
        <v>11</v>
      </c>
      <c r="P26" s="37" t="n">
        <v>11</v>
      </c>
      <c r="Q26" s="37" t="n">
        <v>11</v>
      </c>
      <c r="R26" s="37" t="n">
        <v>11</v>
      </c>
      <c r="S26" s="37" t="n">
        <v>11</v>
      </c>
      <c r="T26" s="37" t="n">
        <v>11</v>
      </c>
      <c r="U26" s="37" t="n">
        <v>11</v>
      </c>
      <c r="V26" s="37" t="n">
        <v>11</v>
      </c>
      <c r="W26" s="37" t="n">
        <v>11</v>
      </c>
      <c r="X26" s="37" t="n">
        <v>11</v>
      </c>
      <c r="Y26" s="37" t="n">
        <v>11</v>
      </c>
      <c r="Z26" s="37" t="n">
        <v>11</v>
      </c>
      <c r="AA26" s="37" t="n">
        <v>11</v>
      </c>
      <c r="AB26" s="37" t="n">
        <v>11</v>
      </c>
      <c r="AC26" s="37" t="n">
        <v>11</v>
      </c>
      <c r="AD26" s="37" t="n">
        <v>11</v>
      </c>
      <c r="AE26" s="37" t="n">
        <v>11</v>
      </c>
      <c r="AF26" s="37" t="n">
        <v>11</v>
      </c>
      <c r="AG26" s="37" t="n">
        <v>11</v>
      </c>
      <c r="AH26" s="37" t="n">
        <v>11</v>
      </c>
      <c r="AI26" s="37" t="inlineStr">
        <is>
          <t xml:space="preserve"> </t>
        </is>
      </c>
    </row>
  </sheetData>
  <mergeCells count="28">
    <mergeCell ref="AN2:AN4"/>
    <mergeCell ref="AO2:AO4"/>
    <mergeCell ref="B9:C9"/>
    <mergeCell ref="E2:AI2"/>
    <mergeCell ref="AK2:AK4"/>
    <mergeCell ref="AL2:AL4"/>
    <mergeCell ref="AM2:AM4"/>
    <mergeCell ref="B3:C4"/>
    <mergeCell ref="B5:C5"/>
    <mergeCell ref="B6:C6"/>
    <mergeCell ref="B7:C7"/>
    <mergeCell ref="B8:C8"/>
    <mergeCell ref="E23:AI23"/>
    <mergeCell ref="B24:C24"/>
    <mergeCell ref="B17:C17"/>
    <mergeCell ref="B18:C18"/>
    <mergeCell ref="B10:C10"/>
    <mergeCell ref="B11:C11"/>
    <mergeCell ref="B12:C12"/>
    <mergeCell ref="B13:C13"/>
    <mergeCell ref="B14:C14"/>
    <mergeCell ref="B15:C15"/>
    <mergeCell ref="B25:C25"/>
    <mergeCell ref="B26:C26"/>
    <mergeCell ref="B19:C19"/>
    <mergeCell ref="B20:C20"/>
    <mergeCell ref="B21:C21"/>
    <mergeCell ref="B22:C22"/>
  </mergeCells>
  <conditionalFormatting sqref="E5:AH10">
    <cfRule type="containsText" priority="23" operator="containsText" dxfId="8" text="STN">
      <formula>NOT(ISERROR(SEARCH("STN",E5)))</formula>
    </cfRule>
    <cfRule type="containsText" priority="24" operator="containsText" dxfId="20" text="STN">
      <formula>NOT(ISERROR(SEARCH("STN",E5)))</formula>
    </cfRule>
    <cfRule type="containsText" priority="25" operator="containsText" dxfId="4" text="STM">
      <formula>NOT(ISERROR(SEARCH("STM",E5)))</formula>
    </cfRule>
    <cfRule type="containsText" priority="26" operator="containsText" dxfId="17" text="M">
      <formula>NOT(ISERROR(SEARCH("M",E5)))</formula>
    </cfRule>
    <cfRule type="containsText" priority="27" operator="containsText" dxfId="17" text="STM1">
      <formula>NOT(ISERROR(SEARCH("STM1",E5)))</formula>
    </cfRule>
    <cfRule type="containsText" priority="28" operator="containsText" dxfId="16" text="M">
      <formula>NOT(ISERROR(SEARCH("M",E5)))</formula>
    </cfRule>
    <cfRule type="containsText" priority="29" operator="containsText" dxfId="15" text="STM">
      <formula>NOT(ISERROR(SEARCH("STM",E5)))</formula>
    </cfRule>
    <cfRule type="containsText" priority="30" operator="containsText" dxfId="14" text="STM">
      <formula>NOT(ISERROR(SEARCH("STM",E5)))</formula>
    </cfRule>
  </conditionalFormatting>
  <conditionalFormatting sqref="E5:AH15">
    <cfRule type="containsText" priority="19" operator="containsText" dxfId="1" text="A">
      <formula>NOT(ISERROR(SEARCH("A",E5)))</formula>
    </cfRule>
    <cfRule type="containsText" priority="5" operator="containsText" dxfId="15" text="STM1">
      <formula>NOT(ISERROR(SEARCH("STM1",E5)))</formula>
    </cfRule>
  </conditionalFormatting>
  <conditionalFormatting sqref="E11:AH15">
    <cfRule type="containsText" priority="16" operator="containsText" dxfId="4" text="STM1">
      <formula>NOT(ISERROR(SEARCH("STM1",E11)))</formula>
    </cfRule>
    <cfRule type="containsText" priority="17" operator="containsText" dxfId="3" text="O">
      <formula>NOT(ISERROR(SEARCH("O",E11)))</formula>
    </cfRule>
    <cfRule type="containsText" priority="18" operator="containsText" dxfId="2" text="N">
      <formula>NOT(ISERROR(SEARCH("N",E11)))</formula>
    </cfRule>
    <cfRule type="containsText" priority="6" operator="containsText" dxfId="8" text="STN">
      <formula>NOT(ISERROR(SEARCH("STN",E11)))</formula>
    </cfRule>
    <cfRule type="containsText" priority="7" operator="containsText" dxfId="20" text="STN">
      <formula>NOT(ISERROR(SEARCH("STN",E11)))</formula>
    </cfRule>
    <cfRule type="containsText" priority="8" operator="containsText" dxfId="4" text="STM">
      <formula>NOT(ISERROR(SEARCH("STM",E11)))</formula>
    </cfRule>
    <cfRule type="containsText" priority="9" operator="containsText" dxfId="17" text="M">
      <formula>NOT(ISERROR(SEARCH("M",E11)))</formula>
    </cfRule>
    <cfRule type="containsText" priority="10" operator="containsText" dxfId="17" text="STM1">
      <formula>NOT(ISERROR(SEARCH("STM1",E11)))</formula>
    </cfRule>
    <cfRule type="containsText" priority="11" operator="containsText" dxfId="16" text="M">
      <formula>NOT(ISERROR(SEARCH("M",E11)))</formula>
    </cfRule>
    <cfRule type="containsText" priority="12" operator="containsText" dxfId="15" text="STM">
      <formula>NOT(ISERROR(SEARCH("STM",E11)))</formula>
    </cfRule>
    <cfRule type="containsText" priority="13" operator="containsText" dxfId="14" text="STM">
      <formula>NOT(ISERROR(SEARCH("STM",E11)))</formula>
    </cfRule>
    <cfRule type="containsText" priority="14" operator="containsText" dxfId="6" text="STM1">
      <formula>NOT(ISERROR(SEARCH("STM1",E11)))</formula>
    </cfRule>
    <cfRule type="containsText" priority="15" operator="containsText" dxfId="5" text="STA">
      <formula>NOT(ISERROR(SEARCH("STA",E11)))</formula>
    </cfRule>
    <cfRule type="containsText" priority="20" operator="containsText" dxfId="0" text="M">
      <formula>NOT(ISERROR(SEARCH("M",E11)))</formula>
    </cfRule>
  </conditionalFormatting>
  <conditionalFormatting sqref="E5:AI15">
    <cfRule type="containsText" priority="3" operator="containsText" dxfId="4" text="STM1">
      <formula>NOT(ISERROR(SEARCH("STM1",E5)))</formula>
    </cfRule>
    <cfRule type="containsText" priority="4" operator="containsText" dxfId="9" text="STM1">
      <formula>NOT(ISERROR(SEARCH("STM1",E5)))</formula>
    </cfRule>
    <cfRule type="containsText" priority="1" operator="containsText" dxfId="8" text="STN">
      <formula>NOT(ISERROR(SEARCH("STN",E5)))</formula>
    </cfRule>
    <cfRule type="containsText" priority="2" operator="containsText" dxfId="5" text="STA">
      <formula>NOT(ISERROR(SEARCH("STA",E5)))</formula>
    </cfRule>
  </conditionalFormatting>
  <conditionalFormatting sqref="F5:AH5 E6:AH10">
    <cfRule type="containsText" priority="31" operator="containsText" dxfId="6" text="STM1">
      <formula>NOT(ISERROR(SEARCH("STM1",E5)))</formula>
    </cfRule>
    <cfRule type="containsText" priority="32" operator="containsText" dxfId="5" text="STA">
      <formula>NOT(ISERROR(SEARCH("STA",E5)))</formula>
    </cfRule>
    <cfRule type="containsText" priority="33" operator="containsText" dxfId="4" text="STM1">
      <formula>NOT(ISERROR(SEARCH("STM1",E5)))</formula>
    </cfRule>
    <cfRule type="containsText" priority="34" operator="containsText" dxfId="3" text="O">
      <formula>NOT(ISERROR(SEARCH("O",E5)))</formula>
    </cfRule>
    <cfRule type="containsText" priority="35" operator="containsText" dxfId="2" text="N">
      <formula>NOT(ISERROR(SEARCH("N",E5)))</formula>
    </cfRule>
    <cfRule type="containsText" priority="36" operator="containsText" dxfId="1" text="A">
      <formula>NOT(ISERROR(SEARCH("A",E5)))</formula>
    </cfRule>
    <cfRule type="containsText" priority="37" operator="containsText" dxfId="0" text="M">
      <formula>NOT(ISERROR(SEARCH("M",E5)))</formula>
    </cfRule>
  </conditionalFormatting>
  <conditionalFormatting sqref="F6:AI10 AI11:AI15">
    <cfRule type="dataBar" priority="22">
      <dataBar>
        <cfvo type="min"/>
        <cfvo type="max"/>
        <color rgb="FF638EC6"/>
      </dataBar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Rodolfo C Magcaling</dc:creator>
  <dcterms:created xmlns:dcterms="http://purl.org/dc/terms/" xmlns:xsi="http://www.w3.org/2001/XMLSchema-instance" xsi:type="dcterms:W3CDTF">2025-09-02T04:15:34Z</dcterms:created>
  <dcterms:modified xmlns:dcterms="http://purl.org/dc/terms/" xmlns:xsi="http://www.w3.org/2001/XMLSchema-instance" xsi:type="dcterms:W3CDTF">2025-10-26T11:09:01Z</dcterms:modified>
  <cp:lastModifiedBy>Rodolfo C Magcaling</cp:lastModifiedBy>
  <cp:lastPrinted>2025-09-02T10:11:07Z</cp:lastPrinted>
</cp:coreProperties>
</file>