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manair-my.sharepoint.com/personal/80235_hq_omanair_com/Documents/Desktop/Rosters/STAFF OPERATION SCHEDULE/ROSTER 2026/OPS/04 Apr/"/>
    </mc:Choice>
  </mc:AlternateContent>
  <xr:revisionPtr revIDLastSave="15" documentId="8_{D22D540B-9CD3-4B9A-9F6F-3984180B165F}" xr6:coauthVersionLast="47" xr6:coauthVersionMax="47" xr10:uidLastSave="{69E913A1-8440-4481-A231-FE6DA1528264}"/>
  <bookViews>
    <workbookView xWindow="-120" yWindow="-120" windowWidth="29040" windowHeight="15720" xr2:uid="{78DDF625-1625-46BC-8EA5-C5529200E88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P6" i="1" l="1"/>
  <c r="AP7" i="1"/>
  <c r="AP8" i="1"/>
  <c r="AO6" i="1"/>
  <c r="AO7" i="1"/>
  <c r="AO8" i="1"/>
  <c r="AN6" i="1"/>
  <c r="AN7" i="1"/>
  <c r="AN8" i="1"/>
  <c r="AM6" i="1"/>
  <c r="AM7" i="1"/>
  <c r="AM8" i="1"/>
  <c r="AP5" i="1"/>
  <c r="AO5" i="1"/>
  <c r="AN5" i="1"/>
  <c r="AM5" i="1"/>
  <c r="AL6" i="1"/>
  <c r="AL7" i="1"/>
  <c r="AL8" i="1"/>
  <c r="AL5" i="1"/>
  <c r="AP101" i="1"/>
  <c r="AO101" i="1"/>
  <c r="AN101" i="1"/>
  <c r="AM101" i="1"/>
  <c r="AL101" i="1"/>
  <c r="AP100" i="1"/>
  <c r="AO100" i="1"/>
  <c r="AN100" i="1"/>
  <c r="AM100" i="1"/>
  <c r="AL100" i="1"/>
  <c r="AP99" i="1"/>
  <c r="AO99" i="1"/>
  <c r="AN99" i="1"/>
  <c r="AM99" i="1"/>
  <c r="AL99" i="1"/>
  <c r="AP98" i="1"/>
  <c r="AO98" i="1"/>
  <c r="AN98" i="1"/>
  <c r="AM98" i="1"/>
  <c r="AL98" i="1"/>
  <c r="AP97" i="1"/>
  <c r="AO97" i="1"/>
  <c r="AN97" i="1"/>
  <c r="AM97" i="1"/>
  <c r="AL97" i="1"/>
  <c r="AP96" i="1"/>
  <c r="AO96" i="1"/>
  <c r="AN96" i="1"/>
  <c r="AM96" i="1"/>
  <c r="AL96" i="1"/>
  <c r="AP95" i="1"/>
  <c r="AO95" i="1"/>
  <c r="AN95" i="1"/>
  <c r="AM95" i="1"/>
  <c r="AL95" i="1"/>
  <c r="AP94" i="1"/>
  <c r="AO94" i="1"/>
  <c r="AN94" i="1"/>
  <c r="AM94" i="1"/>
  <c r="AL94" i="1"/>
  <c r="W94" i="1"/>
  <c r="W92" i="1" s="1"/>
  <c r="V94" i="1"/>
  <c r="V92" i="1" s="1"/>
  <c r="AP93" i="1"/>
  <c r="AO93" i="1"/>
  <c r="AN93" i="1"/>
  <c r="AM93" i="1"/>
  <c r="AL93" i="1"/>
  <c r="AP92" i="1"/>
  <c r="AO92" i="1"/>
  <c r="AN92" i="1"/>
  <c r="AM92" i="1"/>
  <c r="AL92" i="1"/>
  <c r="AJ92" i="1"/>
  <c r="AP91" i="1"/>
  <c r="AO91" i="1"/>
  <c r="AN91" i="1"/>
  <c r="AM91" i="1"/>
  <c r="AL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AP90" i="1"/>
  <c r="AO90" i="1"/>
  <c r="AN90" i="1"/>
  <c r="AM90" i="1"/>
  <c r="AL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AP89" i="1"/>
  <c r="AO89" i="1"/>
  <c r="AN89" i="1"/>
  <c r="AM89" i="1"/>
  <c r="AL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AP88" i="1"/>
  <c r="AO88" i="1"/>
  <c r="AN88" i="1"/>
  <c r="AM88" i="1"/>
  <c r="AL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Y94" i="1" s="1"/>
  <c r="Y92" i="1" s="1"/>
  <c r="X88" i="1"/>
  <c r="X94" i="1" s="1"/>
  <c r="X92" i="1" s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K94" i="1" s="1"/>
  <c r="K92" i="1" s="1"/>
  <c r="J88" i="1"/>
  <c r="I88" i="1"/>
  <c r="H88" i="1"/>
  <c r="G88" i="1"/>
  <c r="F88" i="1"/>
  <c r="AP87" i="1"/>
  <c r="AO87" i="1"/>
  <c r="AN87" i="1"/>
  <c r="AM87" i="1"/>
  <c r="AL87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AP86" i="1"/>
  <c r="AO86" i="1"/>
  <c r="AN86" i="1"/>
  <c r="AM86" i="1"/>
  <c r="AL86" i="1"/>
  <c r="AJ86" i="1"/>
  <c r="AI86" i="1"/>
  <c r="AH86" i="1"/>
  <c r="AG86" i="1"/>
  <c r="AF86" i="1"/>
  <c r="AE86" i="1"/>
  <c r="AE96" i="1" s="1"/>
  <c r="AD86" i="1"/>
  <c r="AD94" i="1" s="1"/>
  <c r="AD92" i="1" s="1"/>
  <c r="AC86" i="1"/>
  <c r="AC94" i="1" s="1"/>
  <c r="AC92" i="1" s="1"/>
  <c r="AB86" i="1"/>
  <c r="AB94" i="1" s="1"/>
  <c r="AB92" i="1" s="1"/>
  <c r="AA86" i="1"/>
  <c r="Z86" i="1"/>
  <c r="Y86" i="1"/>
  <c r="X86" i="1"/>
  <c r="W86" i="1"/>
  <c r="V86" i="1"/>
  <c r="U86" i="1"/>
  <c r="T86" i="1"/>
  <c r="S86" i="1"/>
  <c r="R86" i="1"/>
  <c r="Q86" i="1"/>
  <c r="Q96" i="1" s="1"/>
  <c r="P86" i="1"/>
  <c r="P96" i="1" s="1"/>
  <c r="O86" i="1"/>
  <c r="O94" i="1" s="1"/>
  <c r="O92" i="1" s="1"/>
  <c r="N86" i="1"/>
  <c r="N94" i="1" s="1"/>
  <c r="N92" i="1" s="1"/>
  <c r="M86" i="1"/>
  <c r="L86" i="1"/>
  <c r="K86" i="1"/>
  <c r="J86" i="1"/>
  <c r="J96" i="1" s="1"/>
  <c r="I86" i="1"/>
  <c r="I94" i="1" s="1"/>
  <c r="I92" i="1" s="1"/>
  <c r="H86" i="1"/>
  <c r="H94" i="1" s="1"/>
  <c r="H92" i="1" s="1"/>
  <c r="G86" i="1"/>
  <c r="F86" i="1"/>
  <c r="AP85" i="1"/>
  <c r="AO85" i="1"/>
  <c r="AN85" i="1"/>
  <c r="AM85" i="1"/>
  <c r="AL85" i="1"/>
  <c r="AP84" i="1"/>
  <c r="AO84" i="1"/>
  <c r="AN84" i="1"/>
  <c r="AM84" i="1"/>
  <c r="AL84" i="1"/>
  <c r="AP83" i="1"/>
  <c r="AO83" i="1"/>
  <c r="AN83" i="1"/>
  <c r="AM83" i="1"/>
  <c r="AL83" i="1"/>
  <c r="AP82" i="1"/>
  <c r="AO82" i="1"/>
  <c r="AN82" i="1"/>
  <c r="AM82" i="1"/>
  <c r="AL82" i="1"/>
  <c r="AP81" i="1"/>
  <c r="AO81" i="1"/>
  <c r="AN81" i="1"/>
  <c r="AM81" i="1"/>
  <c r="AL81" i="1"/>
  <c r="AP80" i="1"/>
  <c r="AO80" i="1"/>
  <c r="AN80" i="1"/>
  <c r="AM80" i="1"/>
  <c r="AL80" i="1"/>
  <c r="AP79" i="1"/>
  <c r="AO79" i="1"/>
  <c r="AN79" i="1"/>
  <c r="AM79" i="1"/>
  <c r="AL79" i="1"/>
  <c r="AP78" i="1"/>
  <c r="AO78" i="1"/>
  <c r="AN78" i="1"/>
  <c r="AM78" i="1"/>
  <c r="AL78" i="1"/>
  <c r="AP77" i="1"/>
  <c r="AO77" i="1"/>
  <c r="AN77" i="1"/>
  <c r="AM77" i="1"/>
  <c r="AL77" i="1"/>
  <c r="AP76" i="1"/>
  <c r="AO76" i="1"/>
  <c r="AN76" i="1"/>
  <c r="AM76" i="1"/>
  <c r="AL76" i="1"/>
  <c r="AP75" i="1"/>
  <c r="AO75" i="1"/>
  <c r="AN75" i="1"/>
  <c r="AM75" i="1"/>
  <c r="AL75" i="1"/>
  <c r="AP74" i="1"/>
  <c r="AO74" i="1"/>
  <c r="AN74" i="1"/>
  <c r="AM74" i="1"/>
  <c r="AL74" i="1"/>
  <c r="AP73" i="1"/>
  <c r="AO73" i="1"/>
  <c r="AN73" i="1"/>
  <c r="AM73" i="1"/>
  <c r="AL73" i="1"/>
  <c r="AP72" i="1"/>
  <c r="AO72" i="1"/>
  <c r="AN72" i="1"/>
  <c r="AM72" i="1"/>
  <c r="AL72" i="1"/>
  <c r="AP71" i="1"/>
  <c r="AO71" i="1"/>
  <c r="AN71" i="1"/>
  <c r="AM71" i="1"/>
  <c r="AL71" i="1"/>
  <c r="AP70" i="1"/>
  <c r="AO70" i="1"/>
  <c r="AN70" i="1"/>
  <c r="AM70" i="1"/>
  <c r="AL70" i="1"/>
  <c r="AP69" i="1"/>
  <c r="AO69" i="1"/>
  <c r="AN69" i="1"/>
  <c r="AM69" i="1"/>
  <c r="AL69" i="1"/>
  <c r="AP68" i="1"/>
  <c r="AO68" i="1"/>
  <c r="AN68" i="1"/>
  <c r="AM68" i="1"/>
  <c r="AL68" i="1"/>
  <c r="AP67" i="1"/>
  <c r="AO67" i="1"/>
  <c r="AN67" i="1"/>
  <c r="AM67" i="1"/>
  <c r="AL67" i="1"/>
  <c r="AP66" i="1"/>
  <c r="AO66" i="1"/>
  <c r="AN66" i="1"/>
  <c r="AM66" i="1"/>
  <c r="AL66" i="1"/>
  <c r="AP65" i="1"/>
  <c r="AO65" i="1"/>
  <c r="AN65" i="1"/>
  <c r="AM65" i="1"/>
  <c r="AL65" i="1"/>
  <c r="AP64" i="1"/>
  <c r="AO64" i="1"/>
  <c r="AN64" i="1"/>
  <c r="AM64" i="1"/>
  <c r="AL64" i="1"/>
  <c r="AP63" i="1"/>
  <c r="AO63" i="1"/>
  <c r="AN63" i="1"/>
  <c r="AM63" i="1"/>
  <c r="AL63" i="1"/>
  <c r="AP62" i="1"/>
  <c r="AO62" i="1"/>
  <c r="AN62" i="1"/>
  <c r="AM62" i="1"/>
  <c r="AL62" i="1"/>
  <c r="AP61" i="1"/>
  <c r="AO61" i="1"/>
  <c r="AN61" i="1"/>
  <c r="AM61" i="1"/>
  <c r="AL61" i="1"/>
  <c r="AP60" i="1"/>
  <c r="AO60" i="1"/>
  <c r="AN60" i="1"/>
  <c r="AM60" i="1"/>
  <c r="AL60" i="1"/>
  <c r="AP59" i="1"/>
  <c r="AO59" i="1"/>
  <c r="AN59" i="1"/>
  <c r="AM59" i="1"/>
  <c r="AL59" i="1"/>
  <c r="AP58" i="1"/>
  <c r="AO58" i="1"/>
  <c r="AN58" i="1"/>
  <c r="AM58" i="1"/>
  <c r="AL58" i="1"/>
  <c r="AP57" i="1"/>
  <c r="AO57" i="1"/>
  <c r="AN57" i="1"/>
  <c r="AM57" i="1"/>
  <c r="AL57" i="1"/>
  <c r="AP56" i="1"/>
  <c r="AO56" i="1"/>
  <c r="AN56" i="1"/>
  <c r="AM56" i="1"/>
  <c r="AL56" i="1"/>
  <c r="AP55" i="1"/>
  <c r="AO55" i="1"/>
  <c r="AN55" i="1"/>
  <c r="AM55" i="1"/>
  <c r="AL55" i="1"/>
  <c r="AP54" i="1"/>
  <c r="AO54" i="1"/>
  <c r="AN54" i="1"/>
  <c r="AM54" i="1"/>
  <c r="AL54" i="1"/>
  <c r="AP53" i="1"/>
  <c r="AO53" i="1"/>
  <c r="AN53" i="1"/>
  <c r="AM53" i="1"/>
  <c r="AL53" i="1"/>
  <c r="AP52" i="1"/>
  <c r="AO52" i="1"/>
  <c r="AN52" i="1"/>
  <c r="AM52" i="1"/>
  <c r="AL52" i="1"/>
  <c r="AP51" i="1"/>
  <c r="AO51" i="1"/>
  <c r="AN51" i="1"/>
  <c r="AM51" i="1"/>
  <c r="AL51" i="1"/>
  <c r="AP50" i="1"/>
  <c r="AO50" i="1"/>
  <c r="AN50" i="1"/>
  <c r="AM50" i="1"/>
  <c r="AL50" i="1"/>
  <c r="AP49" i="1"/>
  <c r="AO49" i="1"/>
  <c r="AN49" i="1"/>
  <c r="AM49" i="1"/>
  <c r="AL49" i="1"/>
  <c r="AP48" i="1"/>
  <c r="AO48" i="1"/>
  <c r="AN48" i="1"/>
  <c r="AM48" i="1"/>
  <c r="AL48" i="1"/>
  <c r="AP47" i="1"/>
  <c r="AO47" i="1"/>
  <c r="AN47" i="1"/>
  <c r="AM47" i="1"/>
  <c r="AL47" i="1"/>
  <c r="AP46" i="1"/>
  <c r="AO46" i="1"/>
  <c r="AN46" i="1"/>
  <c r="AM46" i="1"/>
  <c r="AL46" i="1"/>
  <c r="AP45" i="1"/>
  <c r="AO45" i="1"/>
  <c r="AN45" i="1"/>
  <c r="AM45" i="1"/>
  <c r="AL45" i="1"/>
  <c r="AP44" i="1"/>
  <c r="AO44" i="1"/>
  <c r="AN44" i="1"/>
  <c r="AM44" i="1"/>
  <c r="AL44" i="1"/>
  <c r="AP43" i="1"/>
  <c r="AO43" i="1"/>
  <c r="AN43" i="1"/>
  <c r="AM43" i="1"/>
  <c r="AL43" i="1"/>
  <c r="AP42" i="1"/>
  <c r="AO42" i="1"/>
  <c r="AN42" i="1"/>
  <c r="AM42" i="1"/>
  <c r="AL42" i="1"/>
  <c r="AP41" i="1"/>
  <c r="AO41" i="1"/>
  <c r="AN41" i="1"/>
  <c r="AM41" i="1"/>
  <c r="AL41" i="1"/>
  <c r="AP40" i="1"/>
  <c r="AO40" i="1"/>
  <c r="AN40" i="1"/>
  <c r="AM40" i="1"/>
  <c r="AL40" i="1"/>
  <c r="AP39" i="1"/>
  <c r="AO39" i="1"/>
  <c r="AN39" i="1"/>
  <c r="AM39" i="1"/>
  <c r="AL39" i="1"/>
  <c r="AP38" i="1"/>
  <c r="AO38" i="1"/>
  <c r="AN38" i="1"/>
  <c r="AM38" i="1"/>
  <c r="AL38" i="1"/>
  <c r="AP37" i="1"/>
  <c r="AO37" i="1"/>
  <c r="AN37" i="1"/>
  <c r="AM37" i="1"/>
  <c r="AL37" i="1"/>
  <c r="AP36" i="1"/>
  <c r="AO36" i="1"/>
  <c r="AN36" i="1"/>
  <c r="AM36" i="1"/>
  <c r="AL36" i="1"/>
  <c r="AP35" i="1"/>
  <c r="AO35" i="1"/>
  <c r="AN35" i="1"/>
  <c r="AM35" i="1"/>
  <c r="AL35" i="1"/>
  <c r="AP34" i="1"/>
  <c r="AO34" i="1"/>
  <c r="AN34" i="1"/>
  <c r="AM34" i="1"/>
  <c r="AL34" i="1"/>
  <c r="AP33" i="1"/>
  <c r="AO33" i="1"/>
  <c r="AN33" i="1"/>
  <c r="AM33" i="1"/>
  <c r="AL33" i="1"/>
  <c r="AP32" i="1"/>
  <c r="AO32" i="1"/>
  <c r="AN32" i="1"/>
  <c r="AM32" i="1"/>
  <c r="AL32" i="1"/>
  <c r="AP31" i="1"/>
  <c r="AO31" i="1"/>
  <c r="AN31" i="1"/>
  <c r="AM31" i="1"/>
  <c r="AL31" i="1"/>
  <c r="AP30" i="1"/>
  <c r="AO30" i="1"/>
  <c r="AN30" i="1"/>
  <c r="AM30" i="1"/>
  <c r="AL30" i="1"/>
  <c r="AP29" i="1"/>
  <c r="AO29" i="1"/>
  <c r="AN29" i="1"/>
  <c r="AM29" i="1"/>
  <c r="AL29" i="1"/>
  <c r="AP28" i="1"/>
  <c r="AO28" i="1"/>
  <c r="AN28" i="1"/>
  <c r="AM28" i="1"/>
  <c r="AL28" i="1"/>
  <c r="AP27" i="1"/>
  <c r="AO27" i="1"/>
  <c r="AN27" i="1"/>
  <c r="AM27" i="1"/>
  <c r="AL27" i="1"/>
  <c r="AP26" i="1"/>
  <c r="AO26" i="1"/>
  <c r="AN26" i="1"/>
  <c r="AM26" i="1"/>
  <c r="AL26" i="1"/>
  <c r="AP25" i="1"/>
  <c r="AO25" i="1"/>
  <c r="AN25" i="1"/>
  <c r="AM25" i="1"/>
  <c r="AL25" i="1"/>
  <c r="AP24" i="1"/>
  <c r="AO24" i="1"/>
  <c r="AN24" i="1"/>
  <c r="AM24" i="1"/>
  <c r="AL24" i="1"/>
  <c r="AP23" i="1"/>
  <c r="AO23" i="1"/>
  <c r="AN23" i="1"/>
  <c r="AM23" i="1"/>
  <c r="AL23" i="1"/>
  <c r="AP22" i="1"/>
  <c r="AO22" i="1"/>
  <c r="AN22" i="1"/>
  <c r="AM22" i="1"/>
  <c r="AL22" i="1"/>
  <c r="AP21" i="1"/>
  <c r="AO21" i="1"/>
  <c r="AN21" i="1"/>
  <c r="AM21" i="1"/>
  <c r="AL21" i="1"/>
  <c r="AP20" i="1"/>
  <c r="AO20" i="1"/>
  <c r="AN20" i="1"/>
  <c r="AM20" i="1"/>
  <c r="AL20" i="1"/>
  <c r="AP19" i="1"/>
  <c r="AO19" i="1"/>
  <c r="AN19" i="1"/>
  <c r="AM19" i="1"/>
  <c r="AL19" i="1"/>
  <c r="AP18" i="1"/>
  <c r="AO18" i="1"/>
  <c r="AN18" i="1"/>
  <c r="AM18" i="1"/>
  <c r="AL18" i="1"/>
  <c r="AP17" i="1"/>
  <c r="AO17" i="1"/>
  <c r="AN17" i="1"/>
  <c r="AM17" i="1"/>
  <c r="AL17" i="1"/>
  <c r="AP16" i="1"/>
  <c r="AO16" i="1"/>
  <c r="AN16" i="1"/>
  <c r="AM16" i="1"/>
  <c r="AL16" i="1"/>
  <c r="AP15" i="1"/>
  <c r="AO15" i="1"/>
  <c r="AN15" i="1"/>
  <c r="AM15" i="1"/>
  <c r="AL15" i="1"/>
  <c r="AP14" i="1"/>
  <c r="AO14" i="1"/>
  <c r="AN14" i="1"/>
  <c r="AM14" i="1"/>
  <c r="AL14" i="1"/>
  <c r="AP13" i="1"/>
  <c r="AO13" i="1"/>
  <c r="AN13" i="1"/>
  <c r="AM13" i="1"/>
  <c r="AL13" i="1"/>
  <c r="AP12" i="1"/>
  <c r="AO12" i="1"/>
  <c r="AN12" i="1"/>
  <c r="AM12" i="1"/>
  <c r="AL12" i="1"/>
  <c r="AP11" i="1"/>
  <c r="AO11" i="1"/>
  <c r="AN11" i="1"/>
  <c r="AM11" i="1"/>
  <c r="AL11" i="1"/>
  <c r="AP10" i="1"/>
  <c r="AO10" i="1"/>
  <c r="AN10" i="1"/>
  <c r="AM10" i="1"/>
  <c r="AL10" i="1"/>
  <c r="AP9" i="1"/>
  <c r="AO9" i="1"/>
  <c r="AN9" i="1"/>
  <c r="AM9" i="1"/>
  <c r="AL9" i="1"/>
  <c r="AA96" i="1" l="1"/>
  <c r="M96" i="1"/>
  <c r="AI94" i="1"/>
  <c r="AI92" i="1" s="1"/>
  <c r="X96" i="1"/>
  <c r="L94" i="1"/>
  <c r="L92" i="1" s="1"/>
  <c r="Z94" i="1"/>
  <c r="Z92" i="1" s="1"/>
  <c r="AF94" i="1"/>
  <c r="AF92" i="1" s="1"/>
  <c r="AG94" i="1"/>
  <c r="AG92" i="1" s="1"/>
  <c r="T96" i="1"/>
  <c r="AH94" i="1"/>
  <c r="AH92" i="1" s="1"/>
  <c r="U94" i="1"/>
  <c r="U92" i="1" s="1"/>
  <c r="W96" i="1"/>
  <c r="S94" i="1"/>
  <c r="S92" i="1" s="1"/>
  <c r="F94" i="1"/>
  <c r="F92" i="1" s="1"/>
  <c r="G94" i="1"/>
  <c r="G92" i="1" s="1"/>
  <c r="H96" i="1"/>
  <c r="V96" i="1"/>
  <c r="I96" i="1"/>
  <c r="J94" i="1"/>
  <c r="J92" i="1" s="1"/>
  <c r="R94" i="1"/>
  <c r="R92" i="1" s="1"/>
  <c r="Y96" i="1"/>
  <c r="Z96" i="1"/>
  <c r="N96" i="1"/>
  <c r="AB96" i="1"/>
  <c r="M94" i="1"/>
  <c r="M92" i="1" s="1"/>
  <c r="AA94" i="1"/>
  <c r="AA92" i="1" s="1"/>
  <c r="AD96" i="1"/>
  <c r="P94" i="1"/>
  <c r="P92" i="1" s="1"/>
  <c r="R96" i="1"/>
  <c r="AF96" i="1"/>
  <c r="Q94" i="1"/>
  <c r="Q92" i="1" s="1"/>
  <c r="AE94" i="1"/>
  <c r="AE92" i="1" s="1"/>
  <c r="F96" i="1"/>
  <c r="AH96" i="1"/>
  <c r="T94" i="1"/>
  <c r="T92" i="1" s="1"/>
  <c r="K96" i="1"/>
  <c r="L96" i="1"/>
  <c r="O96" i="1"/>
  <c r="AC96" i="1"/>
  <c r="S96" i="1"/>
  <c r="AG96" i="1"/>
  <c r="G96" i="1"/>
  <c r="U96" i="1"/>
  <c r="AI96" i="1"/>
</calcChain>
</file>

<file path=xl/sharedStrings.xml><?xml version="1.0" encoding="utf-8"?>
<sst xmlns="http://schemas.openxmlformats.org/spreadsheetml/2006/main" count="2636" uniqueCount="137">
  <si>
    <t>Export Checkers Roster for the Month of APRIL 2026</t>
  </si>
  <si>
    <t xml:space="preserve">Staff Number Of Days Standby </t>
  </si>
  <si>
    <t>Staff's Morning Duty</t>
  </si>
  <si>
    <t>Staff's Afternoon Duty</t>
  </si>
  <si>
    <t>Staff's Night Duty</t>
  </si>
  <si>
    <t>Staff's Offdays</t>
  </si>
  <si>
    <t>Employee</t>
  </si>
  <si>
    <t>SUN</t>
  </si>
  <si>
    <t>MON</t>
  </si>
  <si>
    <t>TUE</t>
  </si>
  <si>
    <t>WED</t>
  </si>
  <si>
    <t>THU</t>
  </si>
  <si>
    <t>FRI</t>
  </si>
  <si>
    <t>SAT</t>
  </si>
  <si>
    <t xml:space="preserve"> </t>
  </si>
  <si>
    <t>OF</t>
  </si>
  <si>
    <t>Rodolfo Magcaling - 80235</t>
  </si>
  <si>
    <t>ME07</t>
  </si>
  <si>
    <t>OFF</t>
  </si>
  <si>
    <t>Adil Al Balushi - 81392</t>
  </si>
  <si>
    <t>Rajaram - 8899</t>
  </si>
  <si>
    <t>MN06</t>
  </si>
  <si>
    <t>AN13</t>
  </si>
  <si>
    <t>Salim Al Masroori - 8926</t>
  </si>
  <si>
    <t>SP</t>
  </si>
  <si>
    <t>Mohamed Al Amri - 81404</t>
  </si>
  <si>
    <t>NN21</t>
  </si>
  <si>
    <t>Saleh Al Rashdi - 82546</t>
  </si>
  <si>
    <t>Jay Macalino - 80250</t>
  </si>
  <si>
    <t>Mohamed Al Kalbani - 82593</t>
  </si>
  <si>
    <t>Talal Al Balushi - 81300</t>
  </si>
  <si>
    <t>Said Al Amri - 990737</t>
  </si>
  <si>
    <t>MN12</t>
  </si>
  <si>
    <t>LC</t>
  </si>
  <si>
    <t>Habib Al Balushi - 82600</t>
  </si>
  <si>
    <t>Hamed Al Fulaiti - 82596</t>
  </si>
  <si>
    <t>Marwan Al Difai - 82437</t>
  </si>
  <si>
    <t>Mubarak Al Nofli - 82114</t>
  </si>
  <si>
    <t>Mudathir Al Hajri - 82441</t>
  </si>
  <si>
    <t>Omar Al Obaidi - 82551</t>
  </si>
  <si>
    <t>Al Muthana Al Shamfari - 82445</t>
  </si>
  <si>
    <t>Ahmed Al Muqaini - 82548</t>
  </si>
  <si>
    <t>Ahmed Al Kharusi - 82575</t>
  </si>
  <si>
    <t>Jaafar Al Balushi - 81258</t>
  </si>
  <si>
    <t>Mohamed Al Siyabi - 81402</t>
  </si>
  <si>
    <t>Saleh Al Aufi - 82550</t>
  </si>
  <si>
    <t>Assad Al Omairi - 81348</t>
  </si>
  <si>
    <t>Bushra Al Wahiebi - 82657</t>
  </si>
  <si>
    <t>Qasim Al Maqbali - 81409</t>
  </si>
  <si>
    <t>CH</t>
  </si>
  <si>
    <t>Mohamed Al Mazroie - 82658</t>
  </si>
  <si>
    <t>Khalifa Al Maqbali - 82673</t>
  </si>
  <si>
    <t>Wissam Al Kharusi - 82464</t>
  </si>
  <si>
    <t>Saif Al Mahrizi - 82649</t>
  </si>
  <si>
    <t>Abdulfatah Al Shukeili - 990465</t>
  </si>
  <si>
    <t>Ammar Al Hashmi - 82659</t>
  </si>
  <si>
    <t>Marhoon Al Kiyumi - 82545</t>
  </si>
  <si>
    <t>Khalil Al Hinai - 82671</t>
  </si>
  <si>
    <t>Rashid Al Farsi - 82615</t>
  </si>
  <si>
    <t>Dawood Al Siyabi - 82672</t>
  </si>
  <si>
    <t>Fahim Al Hashni - 8930</t>
  </si>
  <si>
    <t>Ahmed Al Mawali - 82283</t>
  </si>
  <si>
    <t>Yousuf Al Balushi - 82587</t>
  </si>
  <si>
    <t>Marlon Esmilla - 80270</t>
  </si>
  <si>
    <t>Ali Yousuf Al Balushi - 990752</t>
  </si>
  <si>
    <t>Ali Al Farsi - 81393</t>
  </si>
  <si>
    <t>Waleed Al Hadabi - 80482</t>
  </si>
  <si>
    <t>Abdullah Al Shukeili - 82645</t>
  </si>
  <si>
    <t>Ali Al Mamari - 82574</t>
  </si>
  <si>
    <t>Raad Al Farsi - 82578</t>
  </si>
  <si>
    <t>Mohamed Al Mamari - 82674</t>
  </si>
  <si>
    <t>Waleed Al Siyabi - 8611</t>
  </si>
  <si>
    <t>Mohamed Al Maskari - 82666</t>
  </si>
  <si>
    <t>Mazin Al Hajri - 82547</t>
  </si>
  <si>
    <t>STNN21</t>
  </si>
  <si>
    <t>Ali Al Marjubi - 82577</t>
  </si>
  <si>
    <t>Hosni Al Sulti - 80695</t>
  </si>
  <si>
    <t>Yousuf Al Jaradi - 8646</t>
  </si>
  <si>
    <t>Riyadh Al Jabri - 82555</t>
  </si>
  <si>
    <t>Riyadh Al Sulti - 82424</t>
  </si>
  <si>
    <t>Ahmed Al Hashmi - 82616</t>
  </si>
  <si>
    <t>Ghaith Al Habsi - 82439</t>
  </si>
  <si>
    <t>Mohamed Al Maskari - 82661</t>
  </si>
  <si>
    <t>Khalid Al Raqadi - 8715</t>
  </si>
  <si>
    <t>Adil Al Zadjali - 8584 (Support)</t>
  </si>
  <si>
    <t>Ahmed Al Bakari - 81832 (Support)</t>
  </si>
  <si>
    <t>Mudrik Al Harthi - 82670 (Inventory)</t>
  </si>
  <si>
    <t>OP</t>
  </si>
  <si>
    <t>Mohana Al Subhi - 8714</t>
  </si>
  <si>
    <t>Mohamed Al Amri - 81224</t>
  </si>
  <si>
    <t xml:space="preserve">Khamis Al Hinai - 82467 </t>
  </si>
  <si>
    <t>Mazin Al Siyabi - 81223</t>
  </si>
  <si>
    <t>Adil Al Oraimi - 8941</t>
  </si>
  <si>
    <t>Badar Al Hamadani - 81307</t>
  </si>
  <si>
    <t>Ghassan Al Tarsi - 82588</t>
  </si>
  <si>
    <t>Mohamed Al Falahi - 8762</t>
  </si>
  <si>
    <t>Issa Al Douyani - 8647</t>
  </si>
  <si>
    <t>Salim Sulieman - 8722</t>
  </si>
  <si>
    <t>Zakariya Al Balushi - 82429</t>
  </si>
  <si>
    <t>Salim Al Harassi - 8542</t>
  </si>
  <si>
    <t>Badar Al Fulaiti - 82468</t>
  </si>
  <si>
    <t>Muadh Al Qasimi - 82534</t>
  </si>
  <si>
    <t>Faisal Al Balushi - 82656</t>
  </si>
  <si>
    <t>Said Al Fahkri - 8744</t>
  </si>
  <si>
    <t>Jamal Al Hadi - 82565</t>
  </si>
  <si>
    <t>Ahmed Al Sabii - 82653</t>
  </si>
  <si>
    <t xml:space="preserve">Morning Shift </t>
  </si>
  <si>
    <t xml:space="preserve">Afternoon Shift </t>
  </si>
  <si>
    <t xml:space="preserve">Night Shift </t>
  </si>
  <si>
    <t>Offday</t>
  </si>
  <si>
    <t>Training</t>
  </si>
  <si>
    <t>Standby Staffs</t>
  </si>
  <si>
    <t>Extra Staffs</t>
  </si>
  <si>
    <t xml:space="preserve">On duty </t>
  </si>
  <si>
    <t xml:space="preserve">Minimum Requirement </t>
  </si>
  <si>
    <t xml:space="preserve">Total Staffs  </t>
  </si>
  <si>
    <t>LEGENDS</t>
  </si>
  <si>
    <t>O</t>
  </si>
  <si>
    <t>Rest/Off Day</t>
  </si>
  <si>
    <t>0600H-1500H</t>
  </si>
  <si>
    <t>M</t>
  </si>
  <si>
    <t>1200H-2100H</t>
  </si>
  <si>
    <t>A</t>
  </si>
  <si>
    <t>ST</t>
  </si>
  <si>
    <t>STAND-BY</t>
  </si>
  <si>
    <t>N</t>
  </si>
  <si>
    <t>NN13</t>
  </si>
  <si>
    <t>Supervisor</t>
  </si>
  <si>
    <t>TR</t>
  </si>
  <si>
    <t>TRAINING/COURSE</t>
  </si>
  <si>
    <t>Load Control</t>
  </si>
  <si>
    <t>ANNUAL LEAVE</t>
  </si>
  <si>
    <t>Checkers</t>
  </si>
  <si>
    <t>FL</t>
  </si>
  <si>
    <t>Flight Attentding</t>
  </si>
  <si>
    <t>Operators</t>
  </si>
  <si>
    <t>Ahmed Al Balushi  - 82415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</si>
</sst>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25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7030A0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5" fillId="3" borderId="6" xfId="0" applyFont="1" applyFill="1" applyBorder="1" applyAlignment="1">
      <alignment horizontal="center" vertical="center" textRotation="90"/>
    </xf>
    <xf numFmtId="0" fontId="5" fillId="3" borderId="7" xfId="0" applyFont="1" applyFill="1" applyBorder="1" applyAlignment="1">
      <alignment horizontal="center" vertical="center" textRotation="90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/>
    </xf>
    <xf numFmtId="0" fontId="5" fillId="3" borderId="3" xfId="0" applyFont="1" applyFill="1" applyBorder="1"/>
    <xf numFmtId="0" fontId="5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/>
    <xf numFmtId="0" fontId="5" fillId="0" borderId="11" xfId="0" applyFont="1" applyBorder="1" applyAlignment="1">
      <alignment horizontal="center" vertical="center"/>
    </xf>
    <xf numFmtId="0" fontId="6" fillId="0" borderId="13" xfId="0" applyFont="1" applyBorder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9" fillId="0" borderId="0" xfId="0" applyFont="1"/>
    <xf numFmtId="0" fontId="11" fillId="0" borderId="0" xfId="0" applyFont="1"/>
    <xf numFmtId="0" fontId="10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right"/>
    </xf>
    <xf numFmtId="0" fontId="3" fillId="5" borderId="21" xfId="0" applyFont="1" applyFill="1" applyBorder="1" applyAlignment="1">
      <alignment horizontal="center" vertical="center"/>
    </xf>
    <xf numFmtId="0" fontId="3" fillId="6" borderId="18" xfId="0" applyFont="1" applyFill="1" applyBorder="1" applyAlignment="1">
      <alignment horizontal="center" vertical="center"/>
    </xf>
    <xf numFmtId="0" fontId="3" fillId="7" borderId="25" xfId="0" applyFont="1" applyFill="1" applyBorder="1" applyAlignment="1">
      <alignment horizontal="center" vertical="center"/>
    </xf>
    <xf numFmtId="0" fontId="3" fillId="8" borderId="25" xfId="0" applyFont="1" applyFill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3" fillId="9" borderId="25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13" fillId="10" borderId="25" xfId="0" applyFont="1" applyFill="1" applyBorder="1" applyAlignment="1">
      <alignment horizontal="center" vertical="center"/>
    </xf>
    <xf numFmtId="0" fontId="13" fillId="4" borderId="28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14" fillId="3" borderId="11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12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12" xfId="0" applyFont="1" applyFill="1" applyBorder="1" applyAlignment="1" applyProtection="1">
      <alignment horizontal="center" vertical="center"/>
      <protection locked="0"/>
    </xf>
    <xf numFmtId="0" fontId="14" fillId="3" borderId="5" xfId="0" applyFont="1" applyFill="1" applyBorder="1" applyAlignment="1" applyProtection="1">
      <alignment horizontal="center" vertical="center"/>
      <protection locked="0"/>
    </xf>
    <xf numFmtId="0" fontId="14" fillId="3" borderId="14" xfId="0" applyFont="1" applyFill="1" applyBorder="1" applyAlignment="1" applyProtection="1">
      <alignment horizontal="center" vertical="center"/>
      <protection locked="0"/>
    </xf>
    <xf numFmtId="0" fontId="14" fillId="3" borderId="11" xfId="0" applyFont="1" applyFill="1" applyBorder="1" applyAlignment="1" applyProtection="1">
      <alignment horizontal="center" vertical="center"/>
      <protection locked="0"/>
    </xf>
    <xf numFmtId="0" fontId="14" fillId="3" borderId="7" xfId="0" applyFont="1" applyFill="1" applyBorder="1" applyAlignment="1" applyProtection="1">
      <alignment horizontal="center" vertical="center"/>
      <protection locked="0"/>
    </xf>
    <xf numFmtId="0" fontId="14" fillId="3" borderId="7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 wrapText="1"/>
    </xf>
    <xf numFmtId="0" fontId="8" fillId="4" borderId="16" xfId="0" applyFont="1" applyFill="1" applyBorder="1" applyAlignment="1">
      <alignment horizontal="center" vertical="center"/>
    </xf>
    <xf numFmtId="0" fontId="8" fillId="4" borderId="17" xfId="0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8" borderId="13" xfId="0" applyFont="1" applyFill="1" applyBorder="1" applyAlignment="1">
      <alignment horizontal="center" vertical="center"/>
    </xf>
    <xf numFmtId="0" fontId="1" fillId="8" borderId="18" xfId="0" applyFont="1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1" fillId="9" borderId="13" xfId="0" applyFont="1" applyFill="1" applyBorder="1" applyAlignment="1">
      <alignment horizontal="center" vertical="center"/>
    </xf>
    <xf numFmtId="0" fontId="1" fillId="9" borderId="15" xfId="0" applyFont="1" applyFill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8" fillId="10" borderId="13" xfId="0" applyFont="1" applyFill="1" applyBorder="1" applyAlignment="1">
      <alignment horizontal="center" vertical="center"/>
    </xf>
    <xf numFmtId="0" fontId="8" fillId="10" borderId="15" xfId="0" applyFont="1" applyFill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5" fillId="0" borderId="5" xfId="0" applyFont="1" applyBorder="1" applyAlignment="1">
      <alignment horizontal="right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1" fillId="5" borderId="23" xfId="0" applyFont="1" applyFill="1" applyBorder="1" applyAlignment="1">
      <alignment horizontal="center" vertical="center"/>
    </xf>
    <xf numFmtId="0" fontId="1" fillId="6" borderId="22" xfId="0" applyFont="1" applyFill="1" applyBorder="1" applyAlignment="1">
      <alignment horizontal="center" vertical="center"/>
    </xf>
    <xf numFmtId="0" fontId="1" fillId="6" borderId="24" xfId="0" applyFont="1" applyFill="1" applyBorder="1" applyAlignment="1">
      <alignment horizontal="center" vertical="center"/>
    </xf>
    <xf numFmtId="0" fontId="1" fillId="7" borderId="13" xfId="0" applyFont="1" applyFill="1" applyBorder="1" applyAlignment="1">
      <alignment horizontal="center" vertical="center"/>
    </xf>
    <xf numFmtId="0" fontId="1" fillId="7" borderId="18" xfId="0" applyFont="1" applyFill="1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26" xfId="0" applyFont="1" applyFill="1" applyBorder="1" applyAlignment="1">
      <alignment horizontal="center" vertical="center"/>
    </xf>
    <xf numFmtId="0" fontId="5" fillId="0" borderId="13" xfId="0" applyFont="1" applyBorder="1" applyAlignment="1">
      <alignment horizontal="right"/>
    </xf>
    <xf numFmtId="0" fontId="5" fillId="0" borderId="18" xfId="0" applyFont="1" applyBorder="1" applyAlignment="1">
      <alignment horizontal="right"/>
    </xf>
    <xf numFmtId="0" fontId="10" fillId="0" borderId="5" xfId="0" applyFont="1" applyBorder="1" applyAlignment="1">
      <alignment horizontal="right"/>
    </xf>
    <xf numFmtId="0" fontId="5" fillId="0" borderId="15" xfId="0" applyFont="1" applyBorder="1" applyAlignment="1">
      <alignment horizontal="center" vertical="center"/>
    </xf>
    <xf numFmtId="0" fontId="6" fillId="0" borderId="13" xfId="0" applyFont="1" applyBorder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6" fillId="0" borderId="19" xfId="0" applyFont="1" applyBorder="1" applyAlignment="1">
      <alignment horizontal="left" vertical="center"/>
    </xf>
    <xf numFmtId="0" fontId="6" fillId="0" borderId="20" xfId="0" applyFont="1" applyBorder="1" applyAlignment="1">
      <alignment horizontal="left" vertical="center"/>
    </xf>
    <xf numFmtId="0" fontId="6" fillId="0" borderId="15" xfId="0" applyFont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6" fillId="0" borderId="17" xfId="0" applyFont="1" applyBorder="1" applyAlignment="1">
      <alignment horizontal="left" vertical="center"/>
    </xf>
    <xf numFmtId="0" fontId="4" fillId="0" borderId="5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9C277-A49E-464C-BA1F-E57FE82C4C08}">
  <dimension ref="B1:AP110"/>
  <sheetViews>
    <sheetView tabSelected="1" topLeftCell="A57" zoomScale="80" zoomScaleNormal="80" workbookViewId="0">
      <selection activeCell="C68" sqref="C68:D68"/>
    </sheetView>
  </sheetViews>
  <sheetFormatPr defaultRowHeight="15.75" x14ac:dyDescent="0.25"/>
  <cols>
    <col min="1" max="1" width="3.42578125" style="1" customWidth="1"/>
    <col min="2" max="2" width="7.140625" style="1" customWidth="1"/>
    <col min="3" max="3" width="12.85546875" style="1" customWidth="1"/>
    <col min="4" max="4" width="31.5703125" style="2" customWidth="1"/>
    <col min="5" max="5" width="2.28515625" style="1" customWidth="1"/>
    <col min="6" max="36" width="10.7109375" style="1" customWidth="1"/>
    <col min="37" max="37" width="4.28515625" style="1" customWidth="1"/>
    <col min="38" max="38" width="23.42578125" style="1" bestFit="1" customWidth="1"/>
    <col min="39" max="39" width="19.42578125" style="1" bestFit="1" customWidth="1"/>
    <col min="40" max="40" width="22.28515625" style="1" bestFit="1" customWidth="1"/>
    <col min="41" max="41" width="15.5703125" style="1" bestFit="1" customWidth="1"/>
    <col min="42" max="42" width="12.28515625" style="1" bestFit="1" customWidth="1"/>
    <col min="43" max="16384" width="9.140625" style="1"/>
  </cols>
  <sheetData>
    <row r="1" spans="2:42" ht="16.5" thickBot="1" x14ac:dyDescent="0.3"/>
    <row r="2" spans="2:42" ht="39" customHeight="1" thickBot="1" x14ac:dyDescent="0.55000000000000004">
      <c r="F2" s="89" t="s">
        <v>0</v>
      </c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90"/>
      <c r="AI2" s="90"/>
      <c r="AJ2" s="91"/>
      <c r="AL2" s="92" t="s">
        <v>1</v>
      </c>
      <c r="AM2" s="92" t="s">
        <v>2</v>
      </c>
      <c r="AN2" s="92" t="s">
        <v>3</v>
      </c>
      <c r="AO2" s="92" t="s">
        <v>4</v>
      </c>
      <c r="AP2" s="92" t="s">
        <v>5</v>
      </c>
    </row>
    <row r="3" spans="2:42" ht="36.75" thickBot="1" x14ac:dyDescent="0.3">
      <c r="B3" s="88" t="s">
        <v>6</v>
      </c>
      <c r="C3" s="88"/>
      <c r="D3" s="88"/>
      <c r="F3" s="3" t="s">
        <v>10</v>
      </c>
      <c r="G3" s="4" t="s">
        <v>11</v>
      </c>
      <c r="H3" s="4" t="s">
        <v>12</v>
      </c>
      <c r="I3" s="3" t="s">
        <v>13</v>
      </c>
      <c r="J3" s="4" t="s">
        <v>7</v>
      </c>
      <c r="K3" s="4" t="s">
        <v>8</v>
      </c>
      <c r="L3" s="3" t="s">
        <v>9</v>
      </c>
      <c r="M3" s="4" t="s">
        <v>10</v>
      </c>
      <c r="N3" s="4" t="s">
        <v>11</v>
      </c>
      <c r="O3" s="3" t="s">
        <v>12</v>
      </c>
      <c r="P3" s="4" t="s">
        <v>13</v>
      </c>
      <c r="Q3" s="4" t="s">
        <v>7</v>
      </c>
      <c r="R3" s="3" t="s">
        <v>8</v>
      </c>
      <c r="S3" s="4" t="s">
        <v>9</v>
      </c>
      <c r="T3" s="4" t="s">
        <v>10</v>
      </c>
      <c r="U3" s="3" t="s">
        <v>11</v>
      </c>
      <c r="V3" s="4" t="s">
        <v>12</v>
      </c>
      <c r="W3" s="4" t="s">
        <v>13</v>
      </c>
      <c r="X3" s="3" t="s">
        <v>7</v>
      </c>
      <c r="Y3" s="4" t="s">
        <v>8</v>
      </c>
      <c r="Z3" s="4" t="s">
        <v>9</v>
      </c>
      <c r="AA3" s="3" t="s">
        <v>10</v>
      </c>
      <c r="AB3" s="4" t="s">
        <v>11</v>
      </c>
      <c r="AC3" s="4" t="s">
        <v>12</v>
      </c>
      <c r="AD3" s="3" t="s">
        <v>13</v>
      </c>
      <c r="AE3" s="4" t="s">
        <v>7</v>
      </c>
      <c r="AF3" s="4" t="s">
        <v>8</v>
      </c>
      <c r="AG3" s="3" t="s">
        <v>9</v>
      </c>
      <c r="AH3" s="4" t="s">
        <v>10</v>
      </c>
      <c r="AI3" s="4" t="s">
        <v>11</v>
      </c>
      <c r="AJ3" s="5"/>
      <c r="AL3" s="93"/>
      <c r="AM3" s="93"/>
      <c r="AN3" s="93"/>
      <c r="AO3" s="93"/>
      <c r="AP3" s="93"/>
    </row>
    <row r="4" spans="2:42" ht="19.5" customHeight="1" thickBot="1" x14ac:dyDescent="0.35">
      <c r="B4" s="88"/>
      <c r="C4" s="88"/>
      <c r="D4" s="88"/>
      <c r="F4" s="6">
        <v>1</v>
      </c>
      <c r="G4" s="7">
        <v>2</v>
      </c>
      <c r="H4" s="7">
        <v>3</v>
      </c>
      <c r="I4" s="7">
        <v>4</v>
      </c>
      <c r="J4" s="7">
        <v>5</v>
      </c>
      <c r="K4" s="7">
        <v>6</v>
      </c>
      <c r="L4" s="7">
        <v>7</v>
      </c>
      <c r="M4" s="7">
        <v>8</v>
      </c>
      <c r="N4" s="7">
        <v>9</v>
      </c>
      <c r="O4" s="7">
        <v>10</v>
      </c>
      <c r="P4" s="7">
        <v>11</v>
      </c>
      <c r="Q4" s="7">
        <v>12</v>
      </c>
      <c r="R4" s="7">
        <v>13</v>
      </c>
      <c r="S4" s="7">
        <v>14</v>
      </c>
      <c r="T4" s="7">
        <v>15</v>
      </c>
      <c r="U4" s="7">
        <v>16</v>
      </c>
      <c r="V4" s="7">
        <v>17</v>
      </c>
      <c r="W4" s="7">
        <v>18</v>
      </c>
      <c r="X4" s="7">
        <v>19</v>
      </c>
      <c r="Y4" s="7">
        <v>20</v>
      </c>
      <c r="Z4" s="7">
        <v>21</v>
      </c>
      <c r="AA4" s="7">
        <v>22</v>
      </c>
      <c r="AB4" s="7">
        <v>23</v>
      </c>
      <c r="AC4" s="7">
        <v>24</v>
      </c>
      <c r="AD4" s="7">
        <v>25</v>
      </c>
      <c r="AE4" s="7">
        <v>26</v>
      </c>
      <c r="AF4" s="7">
        <v>27</v>
      </c>
      <c r="AG4" s="7">
        <v>28</v>
      </c>
      <c r="AH4" s="7">
        <v>29</v>
      </c>
      <c r="AI4" s="8">
        <v>30</v>
      </c>
      <c r="AJ4" s="9"/>
      <c r="AL4" s="94"/>
      <c r="AM4" s="94"/>
      <c r="AN4" s="94"/>
      <c r="AO4" s="94"/>
      <c r="AP4" s="94"/>
    </row>
    <row r="5" spans="2:42" ht="19.5" customHeight="1" x14ac:dyDescent="0.25">
      <c r="B5" s="10" t="s">
        <v>15</v>
      </c>
      <c r="C5" s="82" t="s">
        <v>16</v>
      </c>
      <c r="D5" s="82"/>
      <c r="F5" s="33" t="s">
        <v>17</v>
      </c>
      <c r="G5" s="33" t="s">
        <v>17</v>
      </c>
      <c r="H5" s="33" t="s">
        <v>18</v>
      </c>
      <c r="I5" s="33" t="s">
        <v>18</v>
      </c>
      <c r="J5" s="33" t="s">
        <v>17</v>
      </c>
      <c r="K5" s="33" t="s">
        <v>17</v>
      </c>
      <c r="L5" s="33" t="s">
        <v>17</v>
      </c>
      <c r="M5" s="33" t="s">
        <v>17</v>
      </c>
      <c r="N5" s="33" t="s">
        <v>17</v>
      </c>
      <c r="O5" s="33" t="s">
        <v>18</v>
      </c>
      <c r="P5" s="33" t="s">
        <v>18</v>
      </c>
      <c r="Q5" s="33" t="s">
        <v>17</v>
      </c>
      <c r="R5" s="33" t="s">
        <v>17</v>
      </c>
      <c r="S5" s="33" t="s">
        <v>17</v>
      </c>
      <c r="T5" s="33" t="s">
        <v>17</v>
      </c>
      <c r="U5" s="33" t="s">
        <v>17</v>
      </c>
      <c r="V5" s="33" t="s">
        <v>18</v>
      </c>
      <c r="W5" s="33" t="s">
        <v>18</v>
      </c>
      <c r="X5" s="33" t="s">
        <v>17</v>
      </c>
      <c r="Y5" s="33" t="s">
        <v>17</v>
      </c>
      <c r="Z5" s="33" t="s">
        <v>17</v>
      </c>
      <c r="AA5" s="33" t="s">
        <v>17</v>
      </c>
      <c r="AB5" s="33" t="s">
        <v>17</v>
      </c>
      <c r="AC5" s="33" t="s">
        <v>18</v>
      </c>
      <c r="AD5" s="33" t="s">
        <v>18</v>
      </c>
      <c r="AE5" s="33" t="s">
        <v>17</v>
      </c>
      <c r="AF5" s="33" t="s">
        <v>17</v>
      </c>
      <c r="AG5" s="33" t="s">
        <v>17</v>
      </c>
      <c r="AH5" s="33" t="s">
        <v>17</v>
      </c>
      <c r="AI5" s="33" t="s">
        <v>17</v>
      </c>
      <c r="AJ5" s="33"/>
      <c r="AL5" s="44">
        <f>COUNTIF(F$5:AJ$5,"ST*")</f>
        <v>0</v>
      </c>
      <c r="AM5" s="44">
        <f>COUNTIF($F5:$AJ5,"M*")</f>
        <v>22</v>
      </c>
      <c r="AN5" s="44">
        <f>COUNTIF($F5:$AJ5,"A*")</f>
        <v>0</v>
      </c>
      <c r="AO5" s="44">
        <f>COUNTIF($F5:$AJ5,"N*")</f>
        <v>0</v>
      </c>
      <c r="AP5" s="44">
        <f>COUNTIF($F5:$AJ5,"O*")</f>
        <v>8</v>
      </c>
    </row>
    <row r="6" spans="2:42" ht="19.5" customHeight="1" x14ac:dyDescent="0.25">
      <c r="B6" s="10" t="s">
        <v>15</v>
      </c>
      <c r="C6" s="82" t="s">
        <v>19</v>
      </c>
      <c r="D6" s="82"/>
      <c r="F6" s="34" t="s">
        <v>17</v>
      </c>
      <c r="G6" s="34" t="s">
        <v>17</v>
      </c>
      <c r="H6" s="34" t="s">
        <v>18</v>
      </c>
      <c r="I6" s="34" t="s">
        <v>18</v>
      </c>
      <c r="J6" s="34" t="s">
        <v>17</v>
      </c>
      <c r="K6" s="34" t="s">
        <v>17</v>
      </c>
      <c r="L6" s="34" t="s">
        <v>17</v>
      </c>
      <c r="M6" s="34" t="s">
        <v>17</v>
      </c>
      <c r="N6" s="34" t="s">
        <v>17</v>
      </c>
      <c r="O6" s="34" t="s">
        <v>18</v>
      </c>
      <c r="P6" s="34" t="s">
        <v>18</v>
      </c>
      <c r="Q6" s="34" t="s">
        <v>17</v>
      </c>
      <c r="R6" s="34" t="s">
        <v>17</v>
      </c>
      <c r="S6" s="34" t="s">
        <v>17</v>
      </c>
      <c r="T6" s="34" t="s">
        <v>17</v>
      </c>
      <c r="U6" s="34" t="s">
        <v>17</v>
      </c>
      <c r="V6" s="34" t="s">
        <v>18</v>
      </c>
      <c r="W6" s="34" t="s">
        <v>18</v>
      </c>
      <c r="X6" s="34" t="s">
        <v>17</v>
      </c>
      <c r="Y6" s="34" t="s">
        <v>17</v>
      </c>
      <c r="Z6" s="34" t="s">
        <v>17</v>
      </c>
      <c r="AA6" s="34" t="s">
        <v>17</v>
      </c>
      <c r="AB6" s="34" t="s">
        <v>17</v>
      </c>
      <c r="AC6" s="34" t="s">
        <v>18</v>
      </c>
      <c r="AD6" s="34" t="s">
        <v>18</v>
      </c>
      <c r="AE6" s="34" t="s">
        <v>17</v>
      </c>
      <c r="AF6" s="34" t="s">
        <v>17</v>
      </c>
      <c r="AG6" s="34" t="s">
        <v>17</v>
      </c>
      <c r="AH6" s="34" t="s">
        <v>17</v>
      </c>
      <c r="AI6" s="34" t="s">
        <v>17</v>
      </c>
      <c r="AJ6" s="34"/>
      <c r="AL6" s="44">
        <f t="shared" ref="AL6:AL8" si="0">COUNTIF(F$5:AJ$5,"ST*")</f>
        <v>0</v>
      </c>
      <c r="AM6" s="44">
        <f t="shared" ref="AM6:AM8" si="1">COUNTIF($F6:$AJ6,"M*")</f>
        <v>22</v>
      </c>
      <c r="AN6" s="44">
        <f t="shared" ref="AN6:AN8" si="2">COUNTIF($F6:$AJ6,"A*")</f>
        <v>0</v>
      </c>
      <c r="AO6" s="44">
        <f t="shared" ref="AO6:AO8" si="3">COUNTIF($F6:$AJ6,"N*")</f>
        <v>0</v>
      </c>
      <c r="AP6" s="44">
        <f t="shared" ref="AP6:AP8" si="4">COUNTIF($F6:$AJ6,"O*")</f>
        <v>8</v>
      </c>
    </row>
    <row r="7" spans="2:42" ht="19.5" customHeight="1" x14ac:dyDescent="0.25">
      <c r="B7" s="10" t="s">
        <v>15</v>
      </c>
      <c r="C7" s="82" t="s">
        <v>20</v>
      </c>
      <c r="D7" s="82"/>
      <c r="F7" s="34" t="s">
        <v>18</v>
      </c>
      <c r="G7" s="34" t="s">
        <v>21</v>
      </c>
      <c r="H7" s="34" t="s">
        <v>21</v>
      </c>
      <c r="I7" s="34" t="s">
        <v>21</v>
      </c>
      <c r="J7" s="34" t="s">
        <v>22</v>
      </c>
      <c r="K7" s="34" t="s">
        <v>22</v>
      </c>
      <c r="L7" s="34" t="s">
        <v>18</v>
      </c>
      <c r="M7" s="34" t="s">
        <v>18</v>
      </c>
      <c r="N7" s="34" t="s">
        <v>21</v>
      </c>
      <c r="O7" s="34" t="s">
        <v>21</v>
      </c>
      <c r="P7" s="34" t="s">
        <v>21</v>
      </c>
      <c r="Q7" s="34" t="s">
        <v>22</v>
      </c>
      <c r="R7" s="34" t="s">
        <v>22</v>
      </c>
      <c r="S7" s="34" t="s">
        <v>18</v>
      </c>
      <c r="T7" s="34" t="s">
        <v>18</v>
      </c>
      <c r="U7" s="34" t="s">
        <v>21</v>
      </c>
      <c r="V7" s="34" t="s">
        <v>21</v>
      </c>
      <c r="W7" s="34" t="s">
        <v>21</v>
      </c>
      <c r="X7" s="34" t="s">
        <v>22</v>
      </c>
      <c r="Y7" s="34" t="s">
        <v>22</v>
      </c>
      <c r="Z7" s="34" t="s">
        <v>18</v>
      </c>
      <c r="AA7" s="34" t="s">
        <v>18</v>
      </c>
      <c r="AB7" s="34" t="s">
        <v>21</v>
      </c>
      <c r="AC7" s="34" t="s">
        <v>21</v>
      </c>
      <c r="AD7" s="34" t="s">
        <v>21</v>
      </c>
      <c r="AE7" s="34" t="s">
        <v>22</v>
      </c>
      <c r="AF7" s="34" t="s">
        <v>22</v>
      </c>
      <c r="AG7" s="34" t="s">
        <v>18</v>
      </c>
      <c r="AH7" s="34" t="s">
        <v>18</v>
      </c>
      <c r="AI7" s="34" t="s">
        <v>21</v>
      </c>
      <c r="AJ7" s="34"/>
      <c r="AL7" s="44">
        <f t="shared" si="0"/>
        <v>0</v>
      </c>
      <c r="AM7" s="44">
        <f t="shared" si="1"/>
        <v>13</v>
      </c>
      <c r="AN7" s="44">
        <f t="shared" si="2"/>
        <v>8</v>
      </c>
      <c r="AO7" s="44">
        <f t="shared" si="3"/>
        <v>0</v>
      </c>
      <c r="AP7" s="44">
        <f t="shared" si="4"/>
        <v>9</v>
      </c>
    </row>
    <row r="8" spans="2:42" ht="19.5" customHeight="1" thickBot="1" x14ac:dyDescent="0.3">
      <c r="B8" s="10" t="s">
        <v>15</v>
      </c>
      <c r="C8" s="82" t="s">
        <v>23</v>
      </c>
      <c r="D8" s="82"/>
      <c r="F8" s="34" t="s">
        <v>21</v>
      </c>
      <c r="G8" s="34" t="s">
        <v>22</v>
      </c>
      <c r="H8" s="34" t="s">
        <v>22</v>
      </c>
      <c r="I8" s="34" t="s">
        <v>22</v>
      </c>
      <c r="J8" s="34" t="s">
        <v>18</v>
      </c>
      <c r="K8" s="34" t="s">
        <v>18</v>
      </c>
      <c r="L8" s="34" t="s">
        <v>21</v>
      </c>
      <c r="M8" s="34" t="s">
        <v>21</v>
      </c>
      <c r="N8" s="34" t="s">
        <v>22</v>
      </c>
      <c r="O8" s="34" t="s">
        <v>22</v>
      </c>
      <c r="P8" s="34" t="s">
        <v>22</v>
      </c>
      <c r="Q8" s="34" t="s">
        <v>18</v>
      </c>
      <c r="R8" s="34" t="s">
        <v>18</v>
      </c>
      <c r="S8" s="34" t="s">
        <v>21</v>
      </c>
      <c r="T8" s="34" t="s">
        <v>21</v>
      </c>
      <c r="U8" s="34" t="s">
        <v>22</v>
      </c>
      <c r="V8" s="34" t="s">
        <v>22</v>
      </c>
      <c r="W8" s="34" t="s">
        <v>22</v>
      </c>
      <c r="X8" s="34" t="s">
        <v>18</v>
      </c>
      <c r="Y8" s="34" t="s">
        <v>18</v>
      </c>
      <c r="Z8" s="34" t="s">
        <v>21</v>
      </c>
      <c r="AA8" s="34" t="s">
        <v>21</v>
      </c>
      <c r="AB8" s="34" t="s">
        <v>22</v>
      </c>
      <c r="AC8" s="34" t="s">
        <v>22</v>
      </c>
      <c r="AD8" s="34" t="s">
        <v>22</v>
      </c>
      <c r="AE8" s="34" t="s">
        <v>18</v>
      </c>
      <c r="AF8" s="34" t="s">
        <v>18</v>
      </c>
      <c r="AG8" s="34" t="s">
        <v>21</v>
      </c>
      <c r="AH8" s="34" t="s">
        <v>21</v>
      </c>
      <c r="AI8" s="34" t="s">
        <v>22</v>
      </c>
      <c r="AJ8" s="34"/>
      <c r="AL8" s="44">
        <f t="shared" si="0"/>
        <v>0</v>
      </c>
      <c r="AM8" s="44">
        <f t="shared" si="1"/>
        <v>9</v>
      </c>
      <c r="AN8" s="44">
        <f t="shared" si="2"/>
        <v>13</v>
      </c>
      <c r="AO8" s="44">
        <f t="shared" si="3"/>
        <v>0</v>
      </c>
      <c r="AP8" s="44">
        <f t="shared" si="4"/>
        <v>8</v>
      </c>
    </row>
    <row r="9" spans="2:42" ht="18.75" x14ac:dyDescent="0.25">
      <c r="B9" s="10" t="s">
        <v>24</v>
      </c>
      <c r="C9" s="82" t="s">
        <v>25</v>
      </c>
      <c r="D9" s="82"/>
      <c r="F9" s="35" t="s">
        <v>21</v>
      </c>
      <c r="G9" s="35" t="s">
        <v>22</v>
      </c>
      <c r="H9" s="35" t="s">
        <v>22</v>
      </c>
      <c r="I9" s="35" t="s">
        <v>26</v>
      </c>
      <c r="J9" s="35" t="s">
        <v>18</v>
      </c>
      <c r="K9" s="35" t="s">
        <v>18</v>
      </c>
      <c r="L9" s="35" t="s">
        <v>18</v>
      </c>
      <c r="M9" s="35" t="s">
        <v>21</v>
      </c>
      <c r="N9" s="35" t="s">
        <v>21</v>
      </c>
      <c r="O9" s="35" t="s">
        <v>22</v>
      </c>
      <c r="P9" s="35" t="s">
        <v>22</v>
      </c>
      <c r="Q9" s="35" t="s">
        <v>26</v>
      </c>
      <c r="R9" s="35" t="s">
        <v>18</v>
      </c>
      <c r="S9" s="35" t="s">
        <v>18</v>
      </c>
      <c r="T9" s="35" t="s">
        <v>18</v>
      </c>
      <c r="U9" s="35" t="s">
        <v>21</v>
      </c>
      <c r="V9" s="35" t="s">
        <v>21</v>
      </c>
      <c r="W9" s="35" t="s">
        <v>22</v>
      </c>
      <c r="X9" s="35" t="s">
        <v>22</v>
      </c>
      <c r="Y9" s="35" t="s">
        <v>26</v>
      </c>
      <c r="Z9" s="35" t="s">
        <v>18</v>
      </c>
      <c r="AA9" s="35" t="s">
        <v>18</v>
      </c>
      <c r="AB9" s="35" t="s">
        <v>18</v>
      </c>
      <c r="AC9" s="35" t="s">
        <v>21</v>
      </c>
      <c r="AD9" s="35" t="s">
        <v>21</v>
      </c>
      <c r="AE9" s="35" t="s">
        <v>22</v>
      </c>
      <c r="AF9" s="35" t="s">
        <v>22</v>
      </c>
      <c r="AG9" s="35" t="s">
        <v>26</v>
      </c>
      <c r="AH9" s="35" t="s">
        <v>18</v>
      </c>
      <c r="AI9" s="35" t="s">
        <v>18</v>
      </c>
      <c r="AJ9" s="35"/>
      <c r="AL9" s="11">
        <f t="shared" ref="AL9:AL14" si="5">COUNTIF($F9:$AJ9,"ST*")</f>
        <v>0</v>
      </c>
      <c r="AM9" s="11">
        <f t="shared" ref="AM9:AM14" si="6">COUNTIF($F9:$AJ9,"M*")</f>
        <v>7</v>
      </c>
      <c r="AN9" s="11">
        <f t="shared" ref="AN9:AN14" si="7">COUNTIF($F9:$AJ9,"A*")</f>
        <v>8</v>
      </c>
      <c r="AO9" s="11">
        <f t="shared" ref="AO9:AO14" si="8">COUNTIF($F9:$AJ9,"N*")</f>
        <v>4</v>
      </c>
      <c r="AP9" s="11">
        <f t="shared" ref="AP9:AP14" si="9">COUNTIF($F9:$AJ9,"O*")</f>
        <v>11</v>
      </c>
    </row>
    <row r="10" spans="2:42" ht="18.75" x14ac:dyDescent="0.25">
      <c r="B10" s="10" t="s">
        <v>24</v>
      </c>
      <c r="C10" s="82" t="s">
        <v>27</v>
      </c>
      <c r="D10" s="82"/>
      <c r="F10" s="34" t="s">
        <v>26</v>
      </c>
      <c r="G10" s="34" t="s">
        <v>18</v>
      </c>
      <c r="H10" s="34" t="s">
        <v>18</v>
      </c>
      <c r="I10" s="34" t="s">
        <v>18</v>
      </c>
      <c r="J10" s="34" t="s">
        <v>21</v>
      </c>
      <c r="K10" s="34" t="s">
        <v>21</v>
      </c>
      <c r="L10" s="34" t="s">
        <v>22</v>
      </c>
      <c r="M10" s="34" t="s">
        <v>22</v>
      </c>
      <c r="N10" s="34" t="s">
        <v>26</v>
      </c>
      <c r="O10" s="34" t="s">
        <v>18</v>
      </c>
      <c r="P10" s="34" t="s">
        <v>18</v>
      </c>
      <c r="Q10" s="34" t="s">
        <v>18</v>
      </c>
      <c r="R10" s="34" t="s">
        <v>21</v>
      </c>
      <c r="S10" s="34" t="s">
        <v>21</v>
      </c>
      <c r="T10" s="34" t="s">
        <v>22</v>
      </c>
      <c r="U10" s="34" t="s">
        <v>22</v>
      </c>
      <c r="V10" s="34" t="s">
        <v>26</v>
      </c>
      <c r="W10" s="34" t="s">
        <v>18</v>
      </c>
      <c r="X10" s="34" t="s">
        <v>18</v>
      </c>
      <c r="Y10" s="34" t="s">
        <v>18</v>
      </c>
      <c r="Z10" s="34" t="s">
        <v>21</v>
      </c>
      <c r="AA10" s="34" t="s">
        <v>21</v>
      </c>
      <c r="AB10" s="34" t="s">
        <v>22</v>
      </c>
      <c r="AC10" s="34" t="s">
        <v>22</v>
      </c>
      <c r="AD10" s="34" t="s">
        <v>26</v>
      </c>
      <c r="AE10" s="34" t="s">
        <v>18</v>
      </c>
      <c r="AF10" s="34" t="s">
        <v>18</v>
      </c>
      <c r="AG10" s="34" t="s">
        <v>18</v>
      </c>
      <c r="AH10" s="34" t="s">
        <v>21</v>
      </c>
      <c r="AI10" s="34" t="s">
        <v>21</v>
      </c>
      <c r="AJ10" s="34"/>
      <c r="AL10" s="11">
        <f t="shared" si="5"/>
        <v>0</v>
      </c>
      <c r="AM10" s="11">
        <f t="shared" si="6"/>
        <v>8</v>
      </c>
      <c r="AN10" s="11">
        <f t="shared" si="7"/>
        <v>6</v>
      </c>
      <c r="AO10" s="11">
        <f t="shared" si="8"/>
        <v>4</v>
      </c>
      <c r="AP10" s="11">
        <f t="shared" si="9"/>
        <v>12</v>
      </c>
    </row>
    <row r="11" spans="2:42" ht="18.75" x14ac:dyDescent="0.25">
      <c r="B11" s="10" t="s">
        <v>24</v>
      </c>
      <c r="C11" s="82" t="s">
        <v>28</v>
      </c>
      <c r="D11" s="82"/>
      <c r="F11" s="34" t="s">
        <v>18</v>
      </c>
      <c r="G11" s="34" t="s">
        <v>18</v>
      </c>
      <c r="H11" s="34" t="s">
        <v>18</v>
      </c>
      <c r="I11" s="34" t="s">
        <v>21</v>
      </c>
      <c r="J11" s="34" t="s">
        <v>22</v>
      </c>
      <c r="K11" s="34" t="s">
        <v>22</v>
      </c>
      <c r="L11" s="34" t="s">
        <v>26</v>
      </c>
      <c r="M11" s="34" t="s">
        <v>26</v>
      </c>
      <c r="N11" s="34" t="s">
        <v>18</v>
      </c>
      <c r="O11" s="34" t="s">
        <v>18</v>
      </c>
      <c r="P11" s="34" t="s">
        <v>18</v>
      </c>
      <c r="Q11" s="34" t="s">
        <v>21</v>
      </c>
      <c r="R11" s="34" t="s">
        <v>22</v>
      </c>
      <c r="S11" s="34" t="s">
        <v>22</v>
      </c>
      <c r="T11" s="34" t="s">
        <v>26</v>
      </c>
      <c r="U11" s="34" t="s">
        <v>26</v>
      </c>
      <c r="V11" s="34" t="s">
        <v>18</v>
      </c>
      <c r="W11" s="34" t="s">
        <v>18</v>
      </c>
      <c r="X11" s="34" t="s">
        <v>18</v>
      </c>
      <c r="Y11" s="34" t="s">
        <v>21</v>
      </c>
      <c r="Z11" s="34" t="s">
        <v>22</v>
      </c>
      <c r="AA11" s="34" t="s">
        <v>22</v>
      </c>
      <c r="AB11" s="36" t="s">
        <v>26</v>
      </c>
      <c r="AC11" s="34" t="s">
        <v>26</v>
      </c>
      <c r="AD11" s="34" t="s">
        <v>18</v>
      </c>
      <c r="AE11" s="34" t="s">
        <v>18</v>
      </c>
      <c r="AF11" s="34" t="s">
        <v>18</v>
      </c>
      <c r="AG11" s="34" t="s">
        <v>21</v>
      </c>
      <c r="AH11" s="34" t="s">
        <v>22</v>
      </c>
      <c r="AI11" s="34" t="s">
        <v>22</v>
      </c>
      <c r="AJ11" s="34"/>
      <c r="AL11" s="11">
        <f t="shared" si="5"/>
        <v>0</v>
      </c>
      <c r="AM11" s="11">
        <f t="shared" si="6"/>
        <v>4</v>
      </c>
      <c r="AN11" s="11">
        <f t="shared" si="7"/>
        <v>8</v>
      </c>
      <c r="AO11" s="11">
        <f t="shared" si="8"/>
        <v>6</v>
      </c>
      <c r="AP11" s="11">
        <f t="shared" si="9"/>
        <v>12</v>
      </c>
    </row>
    <row r="12" spans="2:42" ht="18.75" x14ac:dyDescent="0.25">
      <c r="B12" s="10" t="s">
        <v>24</v>
      </c>
      <c r="C12" s="82" t="s">
        <v>29</v>
      </c>
      <c r="D12" s="82"/>
      <c r="F12" s="34" t="s">
        <v>22</v>
      </c>
      <c r="G12" s="34" t="s">
        <v>26</v>
      </c>
      <c r="H12" s="34" t="s">
        <v>26</v>
      </c>
      <c r="I12" s="34" t="s">
        <v>18</v>
      </c>
      <c r="J12" s="34" t="s">
        <v>18</v>
      </c>
      <c r="K12" s="34" t="s">
        <v>18</v>
      </c>
      <c r="L12" s="34" t="s">
        <v>21</v>
      </c>
      <c r="M12" s="34" t="s">
        <v>21</v>
      </c>
      <c r="N12" s="34" t="s">
        <v>22</v>
      </c>
      <c r="O12" s="34" t="s">
        <v>26</v>
      </c>
      <c r="P12" s="34" t="s">
        <v>26</v>
      </c>
      <c r="Q12" s="34" t="s">
        <v>18</v>
      </c>
      <c r="R12" s="34" t="s">
        <v>18</v>
      </c>
      <c r="S12" s="34" t="s">
        <v>18</v>
      </c>
      <c r="T12" s="34" t="s">
        <v>21</v>
      </c>
      <c r="U12" s="34" t="s">
        <v>21</v>
      </c>
      <c r="V12" s="34" t="s">
        <v>22</v>
      </c>
      <c r="W12" s="34" t="s">
        <v>26</v>
      </c>
      <c r="X12" s="34" t="s">
        <v>26</v>
      </c>
      <c r="Y12" s="34" t="s">
        <v>18</v>
      </c>
      <c r="Z12" s="34" t="s">
        <v>18</v>
      </c>
      <c r="AA12" s="34" t="s">
        <v>18</v>
      </c>
      <c r="AB12" s="34" t="s">
        <v>21</v>
      </c>
      <c r="AC12" s="34" t="s">
        <v>21</v>
      </c>
      <c r="AD12" s="34" t="s">
        <v>22</v>
      </c>
      <c r="AE12" s="34" t="s">
        <v>26</v>
      </c>
      <c r="AF12" s="34" t="s">
        <v>26</v>
      </c>
      <c r="AG12" s="34" t="s">
        <v>18</v>
      </c>
      <c r="AH12" s="34" t="s">
        <v>18</v>
      </c>
      <c r="AI12" s="34" t="s">
        <v>18</v>
      </c>
      <c r="AJ12" s="34"/>
      <c r="AL12" s="11">
        <f t="shared" si="5"/>
        <v>0</v>
      </c>
      <c r="AM12" s="11">
        <f t="shared" si="6"/>
        <v>6</v>
      </c>
      <c r="AN12" s="11">
        <f t="shared" si="7"/>
        <v>4</v>
      </c>
      <c r="AO12" s="11">
        <f t="shared" si="8"/>
        <v>8</v>
      </c>
      <c r="AP12" s="11">
        <f t="shared" si="9"/>
        <v>12</v>
      </c>
    </row>
    <row r="13" spans="2:42" ht="18.75" x14ac:dyDescent="0.25">
      <c r="B13" s="10" t="s">
        <v>24</v>
      </c>
      <c r="C13" s="82" t="s">
        <v>30</v>
      </c>
      <c r="D13" s="82"/>
      <c r="F13" s="34" t="s">
        <v>18</v>
      </c>
      <c r="G13" s="34" t="s">
        <v>21</v>
      </c>
      <c r="H13" s="34" t="s">
        <v>21</v>
      </c>
      <c r="I13" s="34" t="s">
        <v>22</v>
      </c>
      <c r="J13" s="34" t="s">
        <v>26</v>
      </c>
      <c r="K13" s="34" t="s">
        <v>26</v>
      </c>
      <c r="L13" s="34" t="s">
        <v>18</v>
      </c>
      <c r="M13" s="34" t="s">
        <v>18</v>
      </c>
      <c r="N13" s="34" t="s">
        <v>18</v>
      </c>
      <c r="O13" s="34" t="s">
        <v>21</v>
      </c>
      <c r="P13" s="34" t="s">
        <v>21</v>
      </c>
      <c r="Q13" s="34" t="s">
        <v>22</v>
      </c>
      <c r="R13" s="34" t="s">
        <v>26</v>
      </c>
      <c r="S13" s="34" t="s">
        <v>26</v>
      </c>
      <c r="T13" s="34" t="s">
        <v>18</v>
      </c>
      <c r="U13" s="34" t="s">
        <v>18</v>
      </c>
      <c r="V13" s="34" t="s">
        <v>18</v>
      </c>
      <c r="W13" s="34" t="s">
        <v>21</v>
      </c>
      <c r="X13" s="34" t="s">
        <v>21</v>
      </c>
      <c r="Y13" s="34" t="s">
        <v>22</v>
      </c>
      <c r="Z13" s="34" t="s">
        <v>26</v>
      </c>
      <c r="AA13" s="34" t="s">
        <v>26</v>
      </c>
      <c r="AB13" s="34" t="s">
        <v>18</v>
      </c>
      <c r="AC13" s="34" t="s">
        <v>18</v>
      </c>
      <c r="AD13" s="34" t="s">
        <v>18</v>
      </c>
      <c r="AE13" s="34" t="s">
        <v>21</v>
      </c>
      <c r="AF13" s="34" t="s">
        <v>21</v>
      </c>
      <c r="AG13" s="34" t="s">
        <v>22</v>
      </c>
      <c r="AH13" s="34" t="s">
        <v>26</v>
      </c>
      <c r="AI13" s="34" t="s">
        <v>26</v>
      </c>
      <c r="AJ13" s="34"/>
      <c r="AK13" s="12"/>
      <c r="AL13" s="11">
        <f t="shared" si="5"/>
        <v>0</v>
      </c>
      <c r="AM13" s="11">
        <f t="shared" si="6"/>
        <v>8</v>
      </c>
      <c r="AN13" s="11">
        <f t="shared" si="7"/>
        <v>4</v>
      </c>
      <c r="AO13" s="11">
        <f t="shared" si="8"/>
        <v>8</v>
      </c>
      <c r="AP13" s="11">
        <f t="shared" si="9"/>
        <v>10</v>
      </c>
    </row>
    <row r="14" spans="2:42" ht="19.5" thickBot="1" x14ac:dyDescent="0.3">
      <c r="B14" s="10" t="s">
        <v>24</v>
      </c>
      <c r="C14" s="82" t="s">
        <v>31</v>
      </c>
      <c r="D14" s="82"/>
      <c r="F14" s="37" t="s">
        <v>32</v>
      </c>
      <c r="G14" s="37" t="s">
        <v>21</v>
      </c>
      <c r="H14" s="37" t="s">
        <v>18</v>
      </c>
      <c r="I14" s="37" t="s">
        <v>18</v>
      </c>
      <c r="J14" s="37" t="s">
        <v>21</v>
      </c>
      <c r="K14" s="37" t="s">
        <v>21</v>
      </c>
      <c r="L14" s="37" t="s">
        <v>21</v>
      </c>
      <c r="M14" s="37" t="s">
        <v>21</v>
      </c>
      <c r="N14" s="37" t="s">
        <v>21</v>
      </c>
      <c r="O14" s="37" t="s">
        <v>18</v>
      </c>
      <c r="P14" s="37" t="s">
        <v>18</v>
      </c>
      <c r="Q14" s="37" t="s">
        <v>21</v>
      </c>
      <c r="R14" s="37" t="s">
        <v>21</v>
      </c>
      <c r="S14" s="37" t="s">
        <v>21</v>
      </c>
      <c r="T14" s="37" t="s">
        <v>21</v>
      </c>
      <c r="U14" s="37" t="s">
        <v>21</v>
      </c>
      <c r="V14" s="37" t="s">
        <v>18</v>
      </c>
      <c r="W14" s="37" t="s">
        <v>18</v>
      </c>
      <c r="X14" s="37" t="s">
        <v>21</v>
      </c>
      <c r="Y14" s="37" t="s">
        <v>21</v>
      </c>
      <c r="Z14" s="37" t="s">
        <v>21</v>
      </c>
      <c r="AA14" s="37" t="s">
        <v>21</v>
      </c>
      <c r="AB14" s="37" t="s">
        <v>21</v>
      </c>
      <c r="AC14" s="37" t="s">
        <v>18</v>
      </c>
      <c r="AD14" s="37" t="s">
        <v>18</v>
      </c>
      <c r="AE14" s="37" t="s">
        <v>21</v>
      </c>
      <c r="AF14" s="37" t="s">
        <v>21</v>
      </c>
      <c r="AG14" s="37" t="s">
        <v>21</v>
      </c>
      <c r="AH14" s="37" t="s">
        <v>21</v>
      </c>
      <c r="AI14" s="37" t="s">
        <v>21</v>
      </c>
      <c r="AJ14" s="37"/>
      <c r="AL14" s="11">
        <f t="shared" si="5"/>
        <v>0</v>
      </c>
      <c r="AM14" s="11">
        <f t="shared" si="6"/>
        <v>22</v>
      </c>
      <c r="AN14" s="11">
        <f t="shared" si="7"/>
        <v>0</v>
      </c>
      <c r="AO14" s="11">
        <f t="shared" si="8"/>
        <v>0</v>
      </c>
      <c r="AP14" s="11">
        <f t="shared" si="9"/>
        <v>8</v>
      </c>
    </row>
    <row r="15" spans="2:42" ht="18.75" x14ac:dyDescent="0.25">
      <c r="B15" s="10" t="s">
        <v>33</v>
      </c>
      <c r="C15" s="80" t="s">
        <v>34</v>
      </c>
      <c r="D15" s="85"/>
      <c r="E15" s="13"/>
      <c r="F15" s="35" t="s">
        <v>18</v>
      </c>
      <c r="G15" s="35" t="s">
        <v>21</v>
      </c>
      <c r="H15" s="38" t="s">
        <v>21</v>
      </c>
      <c r="I15" s="35" t="s">
        <v>21</v>
      </c>
      <c r="J15" s="35" t="s">
        <v>22</v>
      </c>
      <c r="K15" s="35" t="s">
        <v>26</v>
      </c>
      <c r="L15" s="35" t="s">
        <v>18</v>
      </c>
      <c r="M15" s="35" t="s">
        <v>18</v>
      </c>
      <c r="N15" s="35" t="s">
        <v>18</v>
      </c>
      <c r="O15" s="38" t="s">
        <v>21</v>
      </c>
      <c r="P15" s="38" t="s">
        <v>21</v>
      </c>
      <c r="Q15" s="35" t="s">
        <v>22</v>
      </c>
      <c r="R15" s="35" t="s">
        <v>26</v>
      </c>
      <c r="S15" s="35" t="s">
        <v>26</v>
      </c>
      <c r="T15" s="35" t="s">
        <v>18</v>
      </c>
      <c r="U15" s="35" t="s">
        <v>18</v>
      </c>
      <c r="V15" s="35" t="s">
        <v>18</v>
      </c>
      <c r="W15" s="38" t="s">
        <v>21</v>
      </c>
      <c r="X15" s="35" t="s">
        <v>21</v>
      </c>
      <c r="Y15" s="35" t="s">
        <v>22</v>
      </c>
      <c r="Z15" s="35" t="s">
        <v>22</v>
      </c>
      <c r="AA15" s="35" t="s">
        <v>26</v>
      </c>
      <c r="AB15" s="35" t="s">
        <v>18</v>
      </c>
      <c r="AC15" s="35" t="s">
        <v>18</v>
      </c>
      <c r="AD15" s="35" t="s">
        <v>18</v>
      </c>
      <c r="AE15" s="35" t="s">
        <v>21</v>
      </c>
      <c r="AF15" s="38" t="s">
        <v>21</v>
      </c>
      <c r="AG15" s="35" t="s">
        <v>21</v>
      </c>
      <c r="AH15" s="35" t="s">
        <v>22</v>
      </c>
      <c r="AI15" s="35" t="s">
        <v>26</v>
      </c>
      <c r="AJ15" s="35"/>
      <c r="AL15" s="11">
        <f>COUNTIF($F15:$AJ15,"ST*")</f>
        <v>0</v>
      </c>
      <c r="AM15" s="11">
        <f>COUNTIF($F15:$AJ15,"M*")</f>
        <v>10</v>
      </c>
      <c r="AN15" s="11">
        <f>COUNTIF($F15:$AJ15,"A*")</f>
        <v>5</v>
      </c>
      <c r="AO15" s="11">
        <f>COUNTIF($F15:$AJ15,"N*")</f>
        <v>5</v>
      </c>
      <c r="AP15" s="11">
        <f>COUNTIF($F15:$AJ15,"O*")</f>
        <v>10</v>
      </c>
    </row>
    <row r="16" spans="2:42" ht="18.75" x14ac:dyDescent="0.25">
      <c r="B16" s="14" t="s">
        <v>33</v>
      </c>
      <c r="C16" s="80" t="s">
        <v>35</v>
      </c>
      <c r="D16" s="85"/>
      <c r="E16" s="13"/>
      <c r="F16" s="34" t="s">
        <v>21</v>
      </c>
      <c r="G16" s="34" t="s">
        <v>22</v>
      </c>
      <c r="H16" s="34" t="s">
        <v>22</v>
      </c>
      <c r="I16" s="34" t="s">
        <v>22</v>
      </c>
      <c r="J16" s="34" t="s">
        <v>26</v>
      </c>
      <c r="K16" s="34" t="s">
        <v>18</v>
      </c>
      <c r="L16" s="34" t="s">
        <v>18</v>
      </c>
      <c r="M16" s="34" t="s">
        <v>18</v>
      </c>
      <c r="N16" s="34" t="s">
        <v>21</v>
      </c>
      <c r="O16" s="34" t="s">
        <v>21</v>
      </c>
      <c r="P16" s="34" t="s">
        <v>22</v>
      </c>
      <c r="Q16" s="34" t="s">
        <v>22</v>
      </c>
      <c r="R16" s="34" t="s">
        <v>26</v>
      </c>
      <c r="S16" s="34" t="s">
        <v>18</v>
      </c>
      <c r="T16" s="34" t="s">
        <v>18</v>
      </c>
      <c r="U16" s="34" t="s">
        <v>18</v>
      </c>
      <c r="V16" s="34" t="s">
        <v>21</v>
      </c>
      <c r="W16" s="34" t="s">
        <v>22</v>
      </c>
      <c r="X16" s="34" t="s">
        <v>22</v>
      </c>
      <c r="Y16" s="34" t="s">
        <v>26</v>
      </c>
      <c r="Z16" s="34" t="s">
        <v>26</v>
      </c>
      <c r="AA16" s="34" t="s">
        <v>18</v>
      </c>
      <c r="AB16" s="34" t="s">
        <v>18</v>
      </c>
      <c r="AC16" s="34" t="s">
        <v>18</v>
      </c>
      <c r="AD16" s="34" t="s">
        <v>21</v>
      </c>
      <c r="AE16" s="34" t="s">
        <v>22</v>
      </c>
      <c r="AF16" s="34" t="s">
        <v>22</v>
      </c>
      <c r="AG16" s="34" t="s">
        <v>22</v>
      </c>
      <c r="AH16" s="34" t="s">
        <v>26</v>
      </c>
      <c r="AI16" s="34" t="s">
        <v>18</v>
      </c>
      <c r="AJ16" s="34"/>
      <c r="AL16" s="11">
        <f t="shared" ref="AL16:AL79" si="10">COUNTIF($F16:$AJ16,"ST*")</f>
        <v>0</v>
      </c>
      <c r="AM16" s="11">
        <f t="shared" ref="AM16:AM79" si="11">COUNTIF($F16:$AJ16,"M*")</f>
        <v>5</v>
      </c>
      <c r="AN16" s="11">
        <f t="shared" ref="AN16:AN79" si="12">COUNTIF($F16:$AJ16,"A*")</f>
        <v>10</v>
      </c>
      <c r="AO16" s="11">
        <f t="shared" ref="AO16:AO79" si="13">COUNTIF($F16:$AJ16,"N*")</f>
        <v>5</v>
      </c>
      <c r="AP16" s="11">
        <f t="shared" ref="AP16:AP79" si="14">COUNTIF($F16:$AJ16,"O*")</f>
        <v>10</v>
      </c>
    </row>
    <row r="17" spans="2:42" ht="18.75" x14ac:dyDescent="0.25">
      <c r="B17" s="14" t="s">
        <v>33</v>
      </c>
      <c r="C17" s="80" t="s">
        <v>36</v>
      </c>
      <c r="D17" s="85"/>
      <c r="E17" s="13"/>
      <c r="F17" s="39" t="s">
        <v>21</v>
      </c>
      <c r="G17" s="34" t="s">
        <v>22</v>
      </c>
      <c r="H17" s="34" t="s">
        <v>26</v>
      </c>
      <c r="I17" s="34" t="s">
        <v>26</v>
      </c>
      <c r="J17" s="34" t="s">
        <v>18</v>
      </c>
      <c r="K17" s="34" t="s">
        <v>18</v>
      </c>
      <c r="L17" s="34" t="s">
        <v>18</v>
      </c>
      <c r="M17" s="34" t="s">
        <v>21</v>
      </c>
      <c r="N17" s="39" t="s">
        <v>21</v>
      </c>
      <c r="O17" s="34" t="s">
        <v>22</v>
      </c>
      <c r="P17" s="34" t="s">
        <v>22</v>
      </c>
      <c r="Q17" s="34" t="s">
        <v>26</v>
      </c>
      <c r="R17" s="34" t="s">
        <v>18</v>
      </c>
      <c r="S17" s="34" t="s">
        <v>18</v>
      </c>
      <c r="T17" s="34" t="s">
        <v>18</v>
      </c>
      <c r="U17" s="34" t="s">
        <v>21</v>
      </c>
      <c r="V17" s="39" t="s">
        <v>21</v>
      </c>
      <c r="W17" s="34" t="s">
        <v>22</v>
      </c>
      <c r="X17" s="34" t="s">
        <v>22</v>
      </c>
      <c r="Y17" s="34" t="s">
        <v>26</v>
      </c>
      <c r="Z17" s="34" t="s">
        <v>18</v>
      </c>
      <c r="AA17" s="34" t="s">
        <v>18</v>
      </c>
      <c r="AB17" s="34" t="s">
        <v>18</v>
      </c>
      <c r="AC17" s="34" t="s">
        <v>21</v>
      </c>
      <c r="AD17" s="39" t="s">
        <v>21</v>
      </c>
      <c r="AE17" s="34" t="s">
        <v>22</v>
      </c>
      <c r="AF17" s="34" t="s">
        <v>26</v>
      </c>
      <c r="AG17" s="34" t="s">
        <v>26</v>
      </c>
      <c r="AH17" s="34" t="s">
        <v>18</v>
      </c>
      <c r="AI17" s="34" t="s">
        <v>18</v>
      </c>
      <c r="AJ17" s="34"/>
      <c r="AL17" s="11">
        <f t="shared" si="10"/>
        <v>0</v>
      </c>
      <c r="AM17" s="11">
        <f t="shared" si="11"/>
        <v>7</v>
      </c>
      <c r="AN17" s="11">
        <f t="shared" si="12"/>
        <v>6</v>
      </c>
      <c r="AO17" s="11">
        <f t="shared" si="13"/>
        <v>6</v>
      </c>
      <c r="AP17" s="11">
        <f t="shared" si="14"/>
        <v>11</v>
      </c>
    </row>
    <row r="18" spans="2:42" ht="18.75" x14ac:dyDescent="0.25">
      <c r="B18" s="14" t="s">
        <v>33</v>
      </c>
      <c r="C18" s="80" t="s">
        <v>37</v>
      </c>
      <c r="D18" s="85"/>
      <c r="E18" s="13"/>
      <c r="F18" s="34" t="s">
        <v>22</v>
      </c>
      <c r="G18" s="34" t="s">
        <v>26</v>
      </c>
      <c r="H18" s="34" t="s">
        <v>26</v>
      </c>
      <c r="I18" s="34" t="s">
        <v>18</v>
      </c>
      <c r="J18" s="34" t="s">
        <v>18</v>
      </c>
      <c r="K18" s="34" t="s">
        <v>18</v>
      </c>
      <c r="L18" s="34" t="s">
        <v>21</v>
      </c>
      <c r="M18" s="39" t="s">
        <v>21</v>
      </c>
      <c r="N18" s="34" t="s">
        <v>22</v>
      </c>
      <c r="O18" s="34" t="s">
        <v>22</v>
      </c>
      <c r="P18" s="34" t="s">
        <v>26</v>
      </c>
      <c r="Q18" s="34" t="s">
        <v>18</v>
      </c>
      <c r="R18" s="34" t="s">
        <v>18</v>
      </c>
      <c r="S18" s="34" t="s">
        <v>18</v>
      </c>
      <c r="T18" s="34" t="s">
        <v>21</v>
      </c>
      <c r="U18" s="39" t="s">
        <v>21</v>
      </c>
      <c r="V18" s="34" t="s">
        <v>22</v>
      </c>
      <c r="W18" s="34" t="s">
        <v>26</v>
      </c>
      <c r="X18" s="34" t="s">
        <v>21</v>
      </c>
      <c r="Y18" s="34" t="s">
        <v>18</v>
      </c>
      <c r="Z18" s="34" t="s">
        <v>18</v>
      </c>
      <c r="AA18" s="34" t="s">
        <v>18</v>
      </c>
      <c r="AB18" s="34" t="s">
        <v>21</v>
      </c>
      <c r="AC18" s="39" t="s">
        <v>21</v>
      </c>
      <c r="AD18" s="34" t="s">
        <v>22</v>
      </c>
      <c r="AE18" s="34" t="s">
        <v>26</v>
      </c>
      <c r="AF18" s="34" t="s">
        <v>26</v>
      </c>
      <c r="AG18" s="34" t="s">
        <v>18</v>
      </c>
      <c r="AH18" s="34" t="s">
        <v>18</v>
      </c>
      <c r="AI18" s="34" t="s">
        <v>18</v>
      </c>
      <c r="AJ18" s="34"/>
      <c r="AL18" s="11">
        <f t="shared" si="10"/>
        <v>0</v>
      </c>
      <c r="AM18" s="11">
        <f t="shared" si="11"/>
        <v>7</v>
      </c>
      <c r="AN18" s="11">
        <f t="shared" si="12"/>
        <v>5</v>
      </c>
      <c r="AO18" s="11">
        <f t="shared" si="13"/>
        <v>6</v>
      </c>
      <c r="AP18" s="11">
        <f t="shared" si="14"/>
        <v>12</v>
      </c>
    </row>
    <row r="19" spans="2:42" ht="18.75" x14ac:dyDescent="0.25">
      <c r="B19" s="14" t="s">
        <v>33</v>
      </c>
      <c r="C19" s="80" t="s">
        <v>38</v>
      </c>
      <c r="D19" s="85"/>
      <c r="E19" s="13"/>
      <c r="F19" s="34" t="s">
        <v>22</v>
      </c>
      <c r="G19" s="34" t="s">
        <v>26</v>
      </c>
      <c r="H19" s="34" t="s">
        <v>18</v>
      </c>
      <c r="I19" s="34" t="s">
        <v>18</v>
      </c>
      <c r="J19" s="34" t="s">
        <v>18</v>
      </c>
      <c r="K19" s="34" t="s">
        <v>21</v>
      </c>
      <c r="L19" s="39" t="s">
        <v>21</v>
      </c>
      <c r="M19" s="34" t="s">
        <v>22</v>
      </c>
      <c r="N19" s="34" t="s">
        <v>22</v>
      </c>
      <c r="O19" s="34" t="s">
        <v>26</v>
      </c>
      <c r="P19" s="34" t="s">
        <v>18</v>
      </c>
      <c r="Q19" s="34" t="s">
        <v>18</v>
      </c>
      <c r="R19" s="34" t="s">
        <v>18</v>
      </c>
      <c r="S19" s="34" t="s">
        <v>21</v>
      </c>
      <c r="T19" s="39" t="s">
        <v>21</v>
      </c>
      <c r="U19" s="34" t="s">
        <v>22</v>
      </c>
      <c r="V19" s="34" t="s">
        <v>22</v>
      </c>
      <c r="W19" s="34" t="s">
        <v>26</v>
      </c>
      <c r="X19" s="34" t="s">
        <v>18</v>
      </c>
      <c r="Y19" s="34" t="s">
        <v>18</v>
      </c>
      <c r="Z19" s="34" t="s">
        <v>18</v>
      </c>
      <c r="AA19" s="34" t="s">
        <v>21</v>
      </c>
      <c r="AB19" s="39" t="s">
        <v>21</v>
      </c>
      <c r="AC19" s="34" t="s">
        <v>22</v>
      </c>
      <c r="AD19" s="34" t="s">
        <v>22</v>
      </c>
      <c r="AE19" s="34" t="s">
        <v>26</v>
      </c>
      <c r="AF19" s="34" t="s">
        <v>18</v>
      </c>
      <c r="AG19" s="34" t="s">
        <v>18</v>
      </c>
      <c r="AH19" s="34" t="s">
        <v>18</v>
      </c>
      <c r="AI19" s="34" t="s">
        <v>21</v>
      </c>
      <c r="AJ19" s="39"/>
      <c r="AL19" s="11">
        <f t="shared" si="10"/>
        <v>0</v>
      </c>
      <c r="AM19" s="11">
        <f t="shared" si="11"/>
        <v>7</v>
      </c>
      <c r="AN19" s="11">
        <f t="shared" si="12"/>
        <v>7</v>
      </c>
      <c r="AO19" s="11">
        <f t="shared" si="13"/>
        <v>4</v>
      </c>
      <c r="AP19" s="11">
        <f t="shared" si="14"/>
        <v>12</v>
      </c>
    </row>
    <row r="20" spans="2:42" ht="18.75" x14ac:dyDescent="0.25">
      <c r="B20" s="14" t="s">
        <v>33</v>
      </c>
      <c r="C20" s="80" t="s">
        <v>39</v>
      </c>
      <c r="D20" s="85"/>
      <c r="E20" s="13"/>
      <c r="F20" s="34" t="s">
        <v>26</v>
      </c>
      <c r="G20" s="34" t="s">
        <v>18</v>
      </c>
      <c r="H20" s="34" t="s">
        <v>18</v>
      </c>
      <c r="I20" s="34" t="s">
        <v>18</v>
      </c>
      <c r="J20" s="39" t="s">
        <v>21</v>
      </c>
      <c r="K20" s="34" t="s">
        <v>22</v>
      </c>
      <c r="L20" s="34" t="s">
        <v>22</v>
      </c>
      <c r="M20" s="34" t="s">
        <v>22</v>
      </c>
      <c r="N20" s="34" t="s">
        <v>26</v>
      </c>
      <c r="O20" s="34" t="s">
        <v>18</v>
      </c>
      <c r="P20" s="34" t="s">
        <v>18</v>
      </c>
      <c r="Q20" s="34" t="s">
        <v>18</v>
      </c>
      <c r="R20" s="39" t="s">
        <v>21</v>
      </c>
      <c r="S20" s="34" t="s">
        <v>22</v>
      </c>
      <c r="T20" s="34" t="s">
        <v>22</v>
      </c>
      <c r="U20" s="34" t="s">
        <v>26</v>
      </c>
      <c r="V20" s="34" t="s">
        <v>26</v>
      </c>
      <c r="W20" s="34" t="s">
        <v>18</v>
      </c>
      <c r="X20" s="34" t="s">
        <v>18</v>
      </c>
      <c r="Y20" s="34" t="s">
        <v>18</v>
      </c>
      <c r="Z20" s="34" t="s">
        <v>21</v>
      </c>
      <c r="AA20" s="39" t="s">
        <v>21</v>
      </c>
      <c r="AB20" s="34" t="s">
        <v>22</v>
      </c>
      <c r="AC20" s="34" t="s">
        <v>22</v>
      </c>
      <c r="AD20" s="34" t="s">
        <v>26</v>
      </c>
      <c r="AE20" s="34" t="s">
        <v>18</v>
      </c>
      <c r="AF20" s="34" t="s">
        <v>18</v>
      </c>
      <c r="AG20" s="34" t="s">
        <v>18</v>
      </c>
      <c r="AH20" s="39" t="s">
        <v>21</v>
      </c>
      <c r="AI20" s="39" t="s">
        <v>21</v>
      </c>
      <c r="AJ20" s="34"/>
      <c r="AL20" s="11">
        <f t="shared" si="10"/>
        <v>0</v>
      </c>
      <c r="AM20" s="11">
        <f t="shared" si="11"/>
        <v>6</v>
      </c>
      <c r="AN20" s="11">
        <f t="shared" si="12"/>
        <v>7</v>
      </c>
      <c r="AO20" s="11">
        <f t="shared" si="13"/>
        <v>5</v>
      </c>
      <c r="AP20" s="11">
        <f t="shared" si="14"/>
        <v>12</v>
      </c>
    </row>
    <row r="21" spans="2:42" ht="18.75" x14ac:dyDescent="0.25">
      <c r="B21" s="14" t="s">
        <v>33</v>
      </c>
      <c r="C21" s="80" t="s">
        <v>40</v>
      </c>
      <c r="D21" s="85"/>
      <c r="E21" s="13"/>
      <c r="F21" s="34" t="s">
        <v>18</v>
      </c>
      <c r="G21" s="34" t="s">
        <v>18</v>
      </c>
      <c r="H21" s="34" t="s">
        <v>18</v>
      </c>
      <c r="I21" s="39" t="s">
        <v>21</v>
      </c>
      <c r="J21" s="34" t="s">
        <v>22</v>
      </c>
      <c r="K21" s="34" t="s">
        <v>26</v>
      </c>
      <c r="L21" s="34" t="s">
        <v>26</v>
      </c>
      <c r="M21" s="34" t="s">
        <v>26</v>
      </c>
      <c r="N21" s="34" t="s">
        <v>18</v>
      </c>
      <c r="O21" s="34" t="s">
        <v>18</v>
      </c>
      <c r="P21" s="34" t="s">
        <v>18</v>
      </c>
      <c r="Q21" s="34" t="s">
        <v>21</v>
      </c>
      <c r="R21" s="34" t="s">
        <v>21</v>
      </c>
      <c r="S21" s="34" t="s">
        <v>22</v>
      </c>
      <c r="T21" s="34" t="s">
        <v>22</v>
      </c>
      <c r="U21" s="34" t="s">
        <v>26</v>
      </c>
      <c r="V21" s="34" t="s">
        <v>18</v>
      </c>
      <c r="W21" s="34" t="s">
        <v>18</v>
      </c>
      <c r="X21" s="34" t="s">
        <v>18</v>
      </c>
      <c r="Y21" s="34" t="s">
        <v>21</v>
      </c>
      <c r="Z21" s="39" t="s">
        <v>21</v>
      </c>
      <c r="AA21" s="34" t="s">
        <v>22</v>
      </c>
      <c r="AB21" s="34" t="s">
        <v>26</v>
      </c>
      <c r="AC21" s="34" t="s">
        <v>26</v>
      </c>
      <c r="AD21" s="34" t="s">
        <v>18</v>
      </c>
      <c r="AE21" s="34" t="s">
        <v>18</v>
      </c>
      <c r="AF21" s="34" t="s">
        <v>18</v>
      </c>
      <c r="AG21" s="39" t="s">
        <v>21</v>
      </c>
      <c r="AH21" s="34" t="s">
        <v>22</v>
      </c>
      <c r="AI21" s="34" t="s">
        <v>22</v>
      </c>
      <c r="AJ21" s="34"/>
      <c r="AL21" s="11">
        <f t="shared" si="10"/>
        <v>0</v>
      </c>
      <c r="AM21" s="11">
        <f t="shared" si="11"/>
        <v>6</v>
      </c>
      <c r="AN21" s="11">
        <f t="shared" si="12"/>
        <v>6</v>
      </c>
      <c r="AO21" s="11">
        <f t="shared" si="13"/>
        <v>6</v>
      </c>
      <c r="AP21" s="11">
        <f t="shared" si="14"/>
        <v>12</v>
      </c>
    </row>
    <row r="22" spans="2:42" ht="18.75" x14ac:dyDescent="0.25">
      <c r="B22" s="14" t="s">
        <v>33</v>
      </c>
      <c r="C22" s="80" t="s">
        <v>41</v>
      </c>
      <c r="D22" s="85"/>
      <c r="E22" s="13"/>
      <c r="F22" s="34" t="s">
        <v>18</v>
      </c>
      <c r="G22" s="34" t="s">
        <v>18</v>
      </c>
      <c r="H22" s="34" t="s">
        <v>21</v>
      </c>
      <c r="I22" s="34" t="s">
        <v>21</v>
      </c>
      <c r="J22" s="34" t="s">
        <v>22</v>
      </c>
      <c r="K22" s="34" t="s">
        <v>22</v>
      </c>
      <c r="L22" s="34" t="s">
        <v>26</v>
      </c>
      <c r="M22" s="34" t="s">
        <v>18</v>
      </c>
      <c r="N22" s="34" t="s">
        <v>18</v>
      </c>
      <c r="O22" s="34" t="s">
        <v>18</v>
      </c>
      <c r="P22" s="39" t="s">
        <v>21</v>
      </c>
      <c r="Q22" s="39" t="s">
        <v>21</v>
      </c>
      <c r="R22" s="34" t="s">
        <v>22</v>
      </c>
      <c r="S22" s="34" t="s">
        <v>26</v>
      </c>
      <c r="T22" s="34" t="s">
        <v>26</v>
      </c>
      <c r="U22" s="34" t="s">
        <v>18</v>
      </c>
      <c r="V22" s="34" t="s">
        <v>18</v>
      </c>
      <c r="W22" s="34" t="s">
        <v>18</v>
      </c>
      <c r="X22" s="39" t="s">
        <v>21</v>
      </c>
      <c r="Y22" s="39" t="s">
        <v>21</v>
      </c>
      <c r="Z22" s="34" t="s">
        <v>22</v>
      </c>
      <c r="AA22" s="34" t="s">
        <v>22</v>
      </c>
      <c r="AB22" s="34" t="s">
        <v>26</v>
      </c>
      <c r="AC22" s="34" t="s">
        <v>18</v>
      </c>
      <c r="AD22" s="34" t="s">
        <v>18</v>
      </c>
      <c r="AE22" s="34" t="s">
        <v>18</v>
      </c>
      <c r="AF22" s="34" t="s">
        <v>21</v>
      </c>
      <c r="AG22" s="34" t="s">
        <v>21</v>
      </c>
      <c r="AH22" s="34" t="s">
        <v>22</v>
      </c>
      <c r="AI22" s="34" t="s">
        <v>22</v>
      </c>
      <c r="AJ22" s="34"/>
      <c r="AL22" s="11">
        <f t="shared" si="10"/>
        <v>0</v>
      </c>
      <c r="AM22" s="11">
        <f t="shared" si="11"/>
        <v>8</v>
      </c>
      <c r="AN22" s="11">
        <f t="shared" si="12"/>
        <v>7</v>
      </c>
      <c r="AO22" s="11">
        <f t="shared" si="13"/>
        <v>4</v>
      </c>
      <c r="AP22" s="11">
        <f t="shared" si="14"/>
        <v>11</v>
      </c>
    </row>
    <row r="23" spans="2:42" ht="18.75" x14ac:dyDescent="0.25">
      <c r="B23" s="14" t="s">
        <v>33</v>
      </c>
      <c r="C23" s="80" t="s">
        <v>42</v>
      </c>
      <c r="D23" s="85"/>
      <c r="E23" s="13"/>
      <c r="F23" s="34" t="s">
        <v>18</v>
      </c>
      <c r="G23" s="34" t="s">
        <v>21</v>
      </c>
      <c r="H23" s="34" t="s">
        <v>21</v>
      </c>
      <c r="I23" s="34" t="s">
        <v>22</v>
      </c>
      <c r="J23" s="34" t="s">
        <v>22</v>
      </c>
      <c r="K23" s="34" t="s">
        <v>26</v>
      </c>
      <c r="L23" s="34" t="s">
        <v>18</v>
      </c>
      <c r="M23" s="34" t="s">
        <v>18</v>
      </c>
      <c r="N23" s="34" t="s">
        <v>18</v>
      </c>
      <c r="O23" s="34" t="s">
        <v>21</v>
      </c>
      <c r="P23" s="34" t="s">
        <v>21</v>
      </c>
      <c r="Q23" s="34" t="s">
        <v>22</v>
      </c>
      <c r="R23" s="34" t="s">
        <v>22</v>
      </c>
      <c r="S23" s="34" t="s">
        <v>26</v>
      </c>
      <c r="T23" s="34" t="s">
        <v>18</v>
      </c>
      <c r="U23" s="34" t="s">
        <v>18</v>
      </c>
      <c r="V23" s="34" t="s">
        <v>18</v>
      </c>
      <c r="W23" s="39" t="s">
        <v>21</v>
      </c>
      <c r="X23" s="39" t="s">
        <v>21</v>
      </c>
      <c r="Y23" s="34" t="s">
        <v>22</v>
      </c>
      <c r="Z23" s="34" t="s">
        <v>26</v>
      </c>
      <c r="AA23" s="34" t="s">
        <v>26</v>
      </c>
      <c r="AB23" s="34" t="s">
        <v>18</v>
      </c>
      <c r="AC23" s="34" t="s">
        <v>18</v>
      </c>
      <c r="AD23" s="34" t="s">
        <v>18</v>
      </c>
      <c r="AE23" s="34" t="s">
        <v>21</v>
      </c>
      <c r="AF23" s="34" t="s">
        <v>21</v>
      </c>
      <c r="AG23" s="34" t="s">
        <v>22</v>
      </c>
      <c r="AH23" s="34" t="s">
        <v>22</v>
      </c>
      <c r="AI23" s="34" t="s">
        <v>26</v>
      </c>
      <c r="AJ23" s="34"/>
      <c r="AL23" s="11">
        <f t="shared" si="10"/>
        <v>0</v>
      </c>
      <c r="AM23" s="11">
        <f t="shared" si="11"/>
        <v>8</v>
      </c>
      <c r="AN23" s="11">
        <f t="shared" si="12"/>
        <v>7</v>
      </c>
      <c r="AO23" s="11">
        <f t="shared" si="13"/>
        <v>5</v>
      </c>
      <c r="AP23" s="11">
        <f t="shared" si="14"/>
        <v>10</v>
      </c>
    </row>
    <row r="24" spans="2:42" ht="18.75" x14ac:dyDescent="0.25">
      <c r="B24" s="14" t="s">
        <v>33</v>
      </c>
      <c r="C24" s="80" t="s">
        <v>43</v>
      </c>
      <c r="D24" s="85"/>
      <c r="E24" s="13"/>
      <c r="F24" s="34" t="s">
        <v>21</v>
      </c>
      <c r="G24" s="39" t="s">
        <v>21</v>
      </c>
      <c r="H24" s="39" t="s">
        <v>21</v>
      </c>
      <c r="I24" s="34" t="s">
        <v>22</v>
      </c>
      <c r="J24" s="34" t="s">
        <v>26</v>
      </c>
      <c r="K24" s="34" t="s">
        <v>18</v>
      </c>
      <c r="L24" s="34" t="s">
        <v>18</v>
      </c>
      <c r="M24" s="34" t="s">
        <v>18</v>
      </c>
      <c r="N24" s="34" t="s">
        <v>21</v>
      </c>
      <c r="O24" s="39" t="s">
        <v>21</v>
      </c>
      <c r="P24" s="34" t="s">
        <v>22</v>
      </c>
      <c r="Q24" s="34" t="s">
        <v>22</v>
      </c>
      <c r="R24" s="34" t="s">
        <v>26</v>
      </c>
      <c r="S24" s="34" t="s">
        <v>18</v>
      </c>
      <c r="T24" s="34" t="s">
        <v>18</v>
      </c>
      <c r="U24" s="34" t="s">
        <v>18</v>
      </c>
      <c r="V24" s="34" t="s">
        <v>21</v>
      </c>
      <c r="W24" s="34" t="s">
        <v>22</v>
      </c>
      <c r="X24" s="34" t="s">
        <v>22</v>
      </c>
      <c r="Y24" s="34" t="s">
        <v>26</v>
      </c>
      <c r="Z24" s="34" t="s">
        <v>26</v>
      </c>
      <c r="AA24" s="34" t="s">
        <v>18</v>
      </c>
      <c r="AB24" s="34" t="s">
        <v>18</v>
      </c>
      <c r="AC24" s="34" t="s">
        <v>18</v>
      </c>
      <c r="AD24" s="34" t="s">
        <v>21</v>
      </c>
      <c r="AE24" s="39" t="s">
        <v>21</v>
      </c>
      <c r="AF24" s="39" t="s">
        <v>21</v>
      </c>
      <c r="AG24" s="34" t="s">
        <v>22</v>
      </c>
      <c r="AH24" s="34" t="s">
        <v>26</v>
      </c>
      <c r="AI24" s="34" t="s">
        <v>18</v>
      </c>
      <c r="AJ24" s="34"/>
      <c r="AL24" s="11">
        <f t="shared" si="10"/>
        <v>0</v>
      </c>
      <c r="AM24" s="11">
        <f t="shared" si="11"/>
        <v>9</v>
      </c>
      <c r="AN24" s="11">
        <f t="shared" si="12"/>
        <v>6</v>
      </c>
      <c r="AO24" s="11">
        <f t="shared" si="13"/>
        <v>5</v>
      </c>
      <c r="AP24" s="11">
        <f t="shared" si="14"/>
        <v>10</v>
      </c>
    </row>
    <row r="25" spans="2:42" ht="18.75" x14ac:dyDescent="0.25">
      <c r="B25" s="14" t="s">
        <v>33</v>
      </c>
      <c r="C25" s="80" t="s">
        <v>44</v>
      </c>
      <c r="D25" s="85"/>
      <c r="E25" s="13"/>
      <c r="F25" s="39" t="s">
        <v>21</v>
      </c>
      <c r="G25" s="39" t="s">
        <v>21</v>
      </c>
      <c r="H25" s="34" t="s">
        <v>22</v>
      </c>
      <c r="I25" s="34" t="s">
        <v>26</v>
      </c>
      <c r="J25" s="34" t="s">
        <v>18</v>
      </c>
      <c r="K25" s="34" t="s">
        <v>18</v>
      </c>
      <c r="L25" s="34" t="s">
        <v>18</v>
      </c>
      <c r="M25" s="34" t="s">
        <v>21</v>
      </c>
      <c r="N25" s="39" t="s">
        <v>21</v>
      </c>
      <c r="O25" s="34" t="s">
        <v>22</v>
      </c>
      <c r="P25" s="34" t="s">
        <v>26</v>
      </c>
      <c r="Q25" s="34" t="s">
        <v>26</v>
      </c>
      <c r="R25" s="34" t="s">
        <v>18</v>
      </c>
      <c r="S25" s="34" t="s">
        <v>18</v>
      </c>
      <c r="T25" s="34" t="s">
        <v>18</v>
      </c>
      <c r="U25" s="34" t="s">
        <v>21</v>
      </c>
      <c r="V25" s="39" t="s">
        <v>21</v>
      </c>
      <c r="W25" s="34" t="s">
        <v>22</v>
      </c>
      <c r="X25" s="34" t="s">
        <v>22</v>
      </c>
      <c r="Y25" s="34" t="s">
        <v>26</v>
      </c>
      <c r="Z25" s="34" t="s">
        <v>18</v>
      </c>
      <c r="AA25" s="34" t="s">
        <v>18</v>
      </c>
      <c r="AB25" s="34" t="s">
        <v>18</v>
      </c>
      <c r="AC25" s="39" t="s">
        <v>21</v>
      </c>
      <c r="AD25" s="39" t="s">
        <v>21</v>
      </c>
      <c r="AE25" s="39" t="s">
        <v>21</v>
      </c>
      <c r="AF25" s="34" t="s">
        <v>22</v>
      </c>
      <c r="AG25" s="34" t="s">
        <v>26</v>
      </c>
      <c r="AH25" s="34" t="s">
        <v>18</v>
      </c>
      <c r="AI25" s="34" t="s">
        <v>18</v>
      </c>
      <c r="AJ25" s="34"/>
      <c r="AL25" s="11">
        <f t="shared" si="10"/>
        <v>0</v>
      </c>
      <c r="AM25" s="11">
        <f t="shared" si="11"/>
        <v>9</v>
      </c>
      <c r="AN25" s="11">
        <f t="shared" si="12"/>
        <v>5</v>
      </c>
      <c r="AO25" s="11">
        <f t="shared" si="13"/>
        <v>5</v>
      </c>
      <c r="AP25" s="11">
        <f t="shared" si="14"/>
        <v>11</v>
      </c>
    </row>
    <row r="26" spans="2:42" ht="18.75" x14ac:dyDescent="0.25">
      <c r="B26" s="14" t="s">
        <v>33</v>
      </c>
      <c r="C26" s="80" t="s">
        <v>45</v>
      </c>
      <c r="D26" s="85"/>
      <c r="E26" s="13"/>
      <c r="F26" s="34" t="s">
        <v>22</v>
      </c>
      <c r="G26" s="34" t="s">
        <v>22</v>
      </c>
      <c r="H26" s="34" t="s">
        <v>26</v>
      </c>
      <c r="I26" s="34" t="s">
        <v>18</v>
      </c>
      <c r="J26" s="34" t="s">
        <v>18</v>
      </c>
      <c r="K26" s="34" t="s">
        <v>18</v>
      </c>
      <c r="L26" s="34" t="s">
        <v>21</v>
      </c>
      <c r="M26" s="39" t="s">
        <v>21</v>
      </c>
      <c r="N26" s="34" t="s">
        <v>22</v>
      </c>
      <c r="O26" s="34" t="s">
        <v>26</v>
      </c>
      <c r="P26" s="34" t="s">
        <v>26</v>
      </c>
      <c r="Q26" s="34" t="s">
        <v>18</v>
      </c>
      <c r="R26" s="34" t="s">
        <v>18</v>
      </c>
      <c r="S26" s="34" t="s">
        <v>18</v>
      </c>
      <c r="T26" s="34" t="s">
        <v>21</v>
      </c>
      <c r="U26" s="39" t="s">
        <v>21</v>
      </c>
      <c r="V26" s="34" t="s">
        <v>22</v>
      </c>
      <c r="W26" s="34" t="s">
        <v>22</v>
      </c>
      <c r="X26" s="34" t="s">
        <v>26</v>
      </c>
      <c r="Y26" s="34" t="s">
        <v>18</v>
      </c>
      <c r="Z26" s="34" t="s">
        <v>18</v>
      </c>
      <c r="AA26" s="34" t="s">
        <v>18</v>
      </c>
      <c r="AB26" s="34" t="s">
        <v>21</v>
      </c>
      <c r="AC26" s="34" t="s">
        <v>21</v>
      </c>
      <c r="AD26" s="34" t="s">
        <v>22</v>
      </c>
      <c r="AE26" s="34" t="s">
        <v>22</v>
      </c>
      <c r="AF26" s="34" t="s">
        <v>26</v>
      </c>
      <c r="AG26" s="34" t="s">
        <v>18</v>
      </c>
      <c r="AH26" s="34" t="s">
        <v>18</v>
      </c>
      <c r="AI26" s="34" t="s">
        <v>18</v>
      </c>
      <c r="AJ26" s="34"/>
      <c r="AL26" s="11">
        <f t="shared" si="10"/>
        <v>0</v>
      </c>
      <c r="AM26" s="11">
        <f t="shared" si="11"/>
        <v>6</v>
      </c>
      <c r="AN26" s="11">
        <f t="shared" si="12"/>
        <v>7</v>
      </c>
      <c r="AO26" s="11">
        <f t="shared" si="13"/>
        <v>5</v>
      </c>
      <c r="AP26" s="11">
        <f t="shared" si="14"/>
        <v>12</v>
      </c>
    </row>
    <row r="27" spans="2:42" ht="18.75" x14ac:dyDescent="0.25">
      <c r="B27" s="14" t="s">
        <v>33</v>
      </c>
      <c r="C27" s="80" t="s">
        <v>46</v>
      </c>
      <c r="D27" s="85"/>
      <c r="E27" s="13"/>
      <c r="F27" s="34" t="s">
        <v>22</v>
      </c>
      <c r="G27" s="34" t="s">
        <v>26</v>
      </c>
      <c r="H27" s="34" t="s">
        <v>18</v>
      </c>
      <c r="I27" s="34" t="s">
        <v>18</v>
      </c>
      <c r="J27" s="34" t="s">
        <v>18</v>
      </c>
      <c r="K27" s="39" t="s">
        <v>21</v>
      </c>
      <c r="L27" s="39" t="s">
        <v>21</v>
      </c>
      <c r="M27" s="34" t="s">
        <v>22</v>
      </c>
      <c r="N27" s="34" t="s">
        <v>22</v>
      </c>
      <c r="O27" s="34" t="s">
        <v>26</v>
      </c>
      <c r="P27" s="34" t="s">
        <v>18</v>
      </c>
      <c r="Q27" s="34" t="s">
        <v>18</v>
      </c>
      <c r="R27" s="34" t="s">
        <v>18</v>
      </c>
      <c r="S27" s="39" t="s">
        <v>21</v>
      </c>
      <c r="T27" s="39" t="s">
        <v>21</v>
      </c>
      <c r="U27" s="34" t="s">
        <v>22</v>
      </c>
      <c r="V27" s="34" t="s">
        <v>22</v>
      </c>
      <c r="W27" s="34" t="s">
        <v>26</v>
      </c>
      <c r="X27" s="34" t="s">
        <v>18</v>
      </c>
      <c r="Y27" s="34" t="s">
        <v>18</v>
      </c>
      <c r="Z27" s="34" t="s">
        <v>18</v>
      </c>
      <c r="AA27" s="34" t="s">
        <v>21</v>
      </c>
      <c r="AB27" s="39" t="s">
        <v>21</v>
      </c>
      <c r="AC27" s="34" t="s">
        <v>22</v>
      </c>
      <c r="AD27" s="34" t="s">
        <v>22</v>
      </c>
      <c r="AE27" s="34" t="s">
        <v>26</v>
      </c>
      <c r="AF27" s="34" t="s">
        <v>18</v>
      </c>
      <c r="AG27" s="34" t="s">
        <v>18</v>
      </c>
      <c r="AH27" s="34" t="s">
        <v>18</v>
      </c>
      <c r="AI27" s="34" t="s">
        <v>21</v>
      </c>
      <c r="AJ27" s="39"/>
      <c r="AL27" s="11">
        <f t="shared" si="10"/>
        <v>0</v>
      </c>
      <c r="AM27" s="11">
        <f t="shared" si="11"/>
        <v>7</v>
      </c>
      <c r="AN27" s="11">
        <f t="shared" si="12"/>
        <v>7</v>
      </c>
      <c r="AO27" s="11">
        <f t="shared" si="13"/>
        <v>4</v>
      </c>
      <c r="AP27" s="11">
        <f t="shared" si="14"/>
        <v>12</v>
      </c>
    </row>
    <row r="28" spans="2:42" ht="18.75" x14ac:dyDescent="0.25">
      <c r="B28" s="14" t="s">
        <v>33</v>
      </c>
      <c r="C28" s="80" t="s">
        <v>47</v>
      </c>
      <c r="D28" s="85"/>
      <c r="E28" s="13"/>
      <c r="F28" s="34" t="s">
        <v>26</v>
      </c>
      <c r="G28" s="34" t="s">
        <v>18</v>
      </c>
      <c r="H28" s="34" t="s">
        <v>18</v>
      </c>
      <c r="I28" s="34" t="s">
        <v>18</v>
      </c>
      <c r="J28" s="39" t="s">
        <v>21</v>
      </c>
      <c r="K28" s="39" t="s">
        <v>21</v>
      </c>
      <c r="L28" s="34" t="s">
        <v>22</v>
      </c>
      <c r="M28" s="34" t="s">
        <v>22</v>
      </c>
      <c r="N28" s="34" t="s">
        <v>26</v>
      </c>
      <c r="O28" s="34" t="s">
        <v>18</v>
      </c>
      <c r="P28" s="34" t="s">
        <v>18</v>
      </c>
      <c r="Q28" s="34" t="s">
        <v>18</v>
      </c>
      <c r="R28" s="39" t="s">
        <v>21</v>
      </c>
      <c r="S28" s="39" t="s">
        <v>21</v>
      </c>
      <c r="T28" s="34" t="s">
        <v>22</v>
      </c>
      <c r="U28" s="34" t="s">
        <v>22</v>
      </c>
      <c r="V28" s="34" t="s">
        <v>26</v>
      </c>
      <c r="W28" s="34" t="s">
        <v>18</v>
      </c>
      <c r="X28" s="34" t="s">
        <v>18</v>
      </c>
      <c r="Y28" s="34" t="s">
        <v>18</v>
      </c>
      <c r="Z28" s="34" t="s">
        <v>21</v>
      </c>
      <c r="AA28" s="39" t="s">
        <v>21</v>
      </c>
      <c r="AB28" s="34" t="s">
        <v>22</v>
      </c>
      <c r="AC28" s="34" t="s">
        <v>26</v>
      </c>
      <c r="AD28" s="34" t="s">
        <v>26</v>
      </c>
      <c r="AE28" s="34" t="s">
        <v>18</v>
      </c>
      <c r="AF28" s="34" t="s">
        <v>18</v>
      </c>
      <c r="AG28" s="34" t="s">
        <v>18</v>
      </c>
      <c r="AH28" s="39" t="s">
        <v>21</v>
      </c>
      <c r="AI28" s="39" t="s">
        <v>21</v>
      </c>
      <c r="AJ28" s="34"/>
      <c r="AL28" s="11">
        <f t="shared" si="10"/>
        <v>0</v>
      </c>
      <c r="AM28" s="11">
        <f t="shared" si="11"/>
        <v>8</v>
      </c>
      <c r="AN28" s="11">
        <f t="shared" si="12"/>
        <v>5</v>
      </c>
      <c r="AO28" s="11">
        <f t="shared" si="13"/>
        <v>5</v>
      </c>
      <c r="AP28" s="11">
        <f t="shared" si="14"/>
        <v>12</v>
      </c>
    </row>
    <row r="29" spans="2:42" ht="19.5" thickBot="1" x14ac:dyDescent="0.3">
      <c r="B29" s="14" t="s">
        <v>33</v>
      </c>
      <c r="C29" s="86" t="s">
        <v>48</v>
      </c>
      <c r="D29" s="87"/>
      <c r="E29" s="13"/>
      <c r="F29" s="37" t="s">
        <v>18</v>
      </c>
      <c r="G29" s="37" t="s">
        <v>18</v>
      </c>
      <c r="H29" s="37" t="s">
        <v>18</v>
      </c>
      <c r="I29" s="37" t="s">
        <v>21</v>
      </c>
      <c r="J29" s="37" t="s">
        <v>22</v>
      </c>
      <c r="K29" s="37" t="s">
        <v>22</v>
      </c>
      <c r="L29" s="37" t="s">
        <v>26</v>
      </c>
      <c r="M29" s="37" t="s">
        <v>26</v>
      </c>
      <c r="N29" s="37" t="s">
        <v>18</v>
      </c>
      <c r="O29" s="37" t="s">
        <v>18</v>
      </c>
      <c r="P29" s="37" t="s">
        <v>18</v>
      </c>
      <c r="Q29" s="40" t="s">
        <v>21</v>
      </c>
      <c r="R29" s="37" t="s">
        <v>22</v>
      </c>
      <c r="S29" s="37" t="s">
        <v>22</v>
      </c>
      <c r="T29" s="37" t="s">
        <v>26</v>
      </c>
      <c r="U29" s="37" t="s">
        <v>26</v>
      </c>
      <c r="V29" s="37" t="s">
        <v>18</v>
      </c>
      <c r="W29" s="37" t="s">
        <v>18</v>
      </c>
      <c r="X29" s="37" t="s">
        <v>18</v>
      </c>
      <c r="Y29" s="40" t="s">
        <v>21</v>
      </c>
      <c r="Z29" s="40" t="s">
        <v>21</v>
      </c>
      <c r="AA29" s="37" t="s">
        <v>22</v>
      </c>
      <c r="AB29" s="37" t="s">
        <v>26</v>
      </c>
      <c r="AC29" s="37" t="s">
        <v>26</v>
      </c>
      <c r="AD29" s="37" t="s">
        <v>18</v>
      </c>
      <c r="AE29" s="37" t="s">
        <v>18</v>
      </c>
      <c r="AF29" s="37" t="s">
        <v>18</v>
      </c>
      <c r="AG29" s="37" t="s">
        <v>21</v>
      </c>
      <c r="AH29" s="37" t="s">
        <v>22</v>
      </c>
      <c r="AI29" s="37" t="s">
        <v>22</v>
      </c>
      <c r="AJ29" s="37"/>
      <c r="AL29" s="11">
        <f t="shared" si="10"/>
        <v>0</v>
      </c>
      <c r="AM29" s="11">
        <f t="shared" si="11"/>
        <v>5</v>
      </c>
      <c r="AN29" s="11">
        <f t="shared" si="12"/>
        <v>7</v>
      </c>
      <c r="AO29" s="11">
        <f t="shared" si="13"/>
        <v>6</v>
      </c>
      <c r="AP29" s="11">
        <f t="shared" si="14"/>
        <v>12</v>
      </c>
    </row>
    <row r="30" spans="2:42" ht="18.75" x14ac:dyDescent="0.25">
      <c r="B30" s="10" t="s">
        <v>49</v>
      </c>
      <c r="C30" s="82" t="s">
        <v>50</v>
      </c>
      <c r="D30" s="82"/>
      <c r="F30" s="35" t="s">
        <v>21</v>
      </c>
      <c r="G30" s="35" t="s">
        <v>22</v>
      </c>
      <c r="H30" s="35" t="s">
        <v>22</v>
      </c>
      <c r="I30" s="35" t="s">
        <v>26</v>
      </c>
      <c r="J30" s="35" t="s">
        <v>26</v>
      </c>
      <c r="K30" s="35" t="s">
        <v>18</v>
      </c>
      <c r="L30" s="35" t="s">
        <v>18</v>
      </c>
      <c r="M30" s="35" t="s">
        <v>18</v>
      </c>
      <c r="N30" s="35" t="s">
        <v>21</v>
      </c>
      <c r="O30" s="35" t="s">
        <v>21</v>
      </c>
      <c r="P30" s="35" t="s">
        <v>22</v>
      </c>
      <c r="Q30" s="35" t="s">
        <v>26</v>
      </c>
      <c r="R30" s="35" t="s">
        <v>26</v>
      </c>
      <c r="S30" s="35" t="s">
        <v>18</v>
      </c>
      <c r="T30" s="35" t="s">
        <v>18</v>
      </c>
      <c r="U30" s="35" t="s">
        <v>18</v>
      </c>
      <c r="V30" s="35" t="s">
        <v>21</v>
      </c>
      <c r="W30" s="35" t="s">
        <v>22</v>
      </c>
      <c r="X30" s="35" t="s">
        <v>22</v>
      </c>
      <c r="Y30" s="35" t="s">
        <v>26</v>
      </c>
      <c r="Z30" s="35" t="s">
        <v>26</v>
      </c>
      <c r="AA30" s="35" t="s">
        <v>18</v>
      </c>
      <c r="AB30" s="35" t="s">
        <v>18</v>
      </c>
      <c r="AC30" s="35" t="s">
        <v>18</v>
      </c>
      <c r="AD30" s="35" t="s">
        <v>21</v>
      </c>
      <c r="AE30" s="35" t="s">
        <v>22</v>
      </c>
      <c r="AF30" s="35" t="s">
        <v>22</v>
      </c>
      <c r="AG30" s="35" t="s">
        <v>26</v>
      </c>
      <c r="AH30" s="35" t="s">
        <v>26</v>
      </c>
      <c r="AI30" s="35" t="s">
        <v>18</v>
      </c>
      <c r="AJ30" s="35"/>
      <c r="AL30" s="11">
        <f t="shared" si="10"/>
        <v>0</v>
      </c>
      <c r="AM30" s="11">
        <f t="shared" si="11"/>
        <v>5</v>
      </c>
      <c r="AN30" s="11">
        <f t="shared" si="12"/>
        <v>7</v>
      </c>
      <c r="AO30" s="11">
        <f t="shared" si="13"/>
        <v>8</v>
      </c>
      <c r="AP30" s="11">
        <f t="shared" si="14"/>
        <v>10</v>
      </c>
    </row>
    <row r="31" spans="2:42" ht="18.75" x14ac:dyDescent="0.25">
      <c r="B31" s="10" t="s">
        <v>49</v>
      </c>
      <c r="C31" s="82" t="s">
        <v>51</v>
      </c>
      <c r="D31" s="82"/>
      <c r="F31" s="34" t="s">
        <v>26</v>
      </c>
      <c r="G31" s="34" t="s">
        <v>26</v>
      </c>
      <c r="H31" s="34" t="s">
        <v>18</v>
      </c>
      <c r="I31" s="34" t="s">
        <v>18</v>
      </c>
      <c r="J31" s="34" t="s">
        <v>18</v>
      </c>
      <c r="K31" s="34" t="s">
        <v>21</v>
      </c>
      <c r="L31" s="34" t="s">
        <v>21</v>
      </c>
      <c r="M31" s="34" t="s">
        <v>22</v>
      </c>
      <c r="N31" s="34" t="s">
        <v>22</v>
      </c>
      <c r="O31" s="34" t="s">
        <v>26</v>
      </c>
      <c r="P31" s="34" t="s">
        <v>18</v>
      </c>
      <c r="Q31" s="34" t="s">
        <v>18</v>
      </c>
      <c r="R31" s="34" t="s">
        <v>18</v>
      </c>
      <c r="S31" s="34" t="s">
        <v>21</v>
      </c>
      <c r="T31" s="34" t="s">
        <v>21</v>
      </c>
      <c r="U31" s="34" t="s">
        <v>22</v>
      </c>
      <c r="V31" s="34" t="s">
        <v>22</v>
      </c>
      <c r="W31" s="34" t="s">
        <v>26</v>
      </c>
      <c r="X31" s="34" t="s">
        <v>18</v>
      </c>
      <c r="Y31" s="34" t="s">
        <v>18</v>
      </c>
      <c r="Z31" s="34" t="s">
        <v>18</v>
      </c>
      <c r="AA31" s="34" t="s">
        <v>21</v>
      </c>
      <c r="AB31" s="34" t="s">
        <v>21</v>
      </c>
      <c r="AC31" s="34" t="s">
        <v>22</v>
      </c>
      <c r="AD31" s="34" t="s">
        <v>26</v>
      </c>
      <c r="AE31" s="34" t="s">
        <v>26</v>
      </c>
      <c r="AF31" s="34" t="s">
        <v>18</v>
      </c>
      <c r="AG31" s="34" t="s">
        <v>18</v>
      </c>
      <c r="AH31" s="34" t="s">
        <v>18</v>
      </c>
      <c r="AI31" s="34" t="s">
        <v>21</v>
      </c>
      <c r="AJ31" s="34"/>
      <c r="AL31" s="11">
        <f t="shared" si="10"/>
        <v>0</v>
      </c>
      <c r="AM31" s="11">
        <f t="shared" si="11"/>
        <v>7</v>
      </c>
      <c r="AN31" s="11">
        <f t="shared" si="12"/>
        <v>5</v>
      </c>
      <c r="AO31" s="11">
        <f t="shared" si="13"/>
        <v>6</v>
      </c>
      <c r="AP31" s="11">
        <f t="shared" si="14"/>
        <v>12</v>
      </c>
    </row>
    <row r="32" spans="2:42" ht="18.75" x14ac:dyDescent="0.25">
      <c r="B32" s="10" t="s">
        <v>49</v>
      </c>
      <c r="C32" s="82" t="s">
        <v>52</v>
      </c>
      <c r="D32" s="82"/>
      <c r="F32" s="34" t="s">
        <v>26</v>
      </c>
      <c r="G32" s="34" t="s">
        <v>18</v>
      </c>
      <c r="H32" s="34" t="s">
        <v>18</v>
      </c>
      <c r="I32" s="34" t="s">
        <v>18</v>
      </c>
      <c r="J32" s="34" t="s">
        <v>21</v>
      </c>
      <c r="K32" s="34" t="s">
        <v>21</v>
      </c>
      <c r="L32" s="34" t="s">
        <v>22</v>
      </c>
      <c r="M32" s="34" t="s">
        <v>26</v>
      </c>
      <c r="N32" s="34" t="s">
        <v>26</v>
      </c>
      <c r="O32" s="34" t="s">
        <v>18</v>
      </c>
      <c r="P32" s="34" t="s">
        <v>18</v>
      </c>
      <c r="Q32" s="34" t="s">
        <v>18</v>
      </c>
      <c r="R32" s="34" t="s">
        <v>21</v>
      </c>
      <c r="S32" s="34" t="s">
        <v>22</v>
      </c>
      <c r="T32" s="34" t="s">
        <v>26</v>
      </c>
      <c r="U32" s="34" t="s">
        <v>26</v>
      </c>
      <c r="V32" s="34" t="s">
        <v>26</v>
      </c>
      <c r="W32" s="34" t="s">
        <v>18</v>
      </c>
      <c r="X32" s="34" t="s">
        <v>18</v>
      </c>
      <c r="Y32" s="34" t="s">
        <v>18</v>
      </c>
      <c r="Z32" s="34" t="s">
        <v>21</v>
      </c>
      <c r="AA32" s="34" t="s">
        <v>21</v>
      </c>
      <c r="AB32" s="34" t="s">
        <v>22</v>
      </c>
      <c r="AC32" s="34" t="s">
        <v>26</v>
      </c>
      <c r="AD32" s="34" t="s">
        <v>26</v>
      </c>
      <c r="AE32" s="34" t="s">
        <v>18</v>
      </c>
      <c r="AF32" s="34" t="s">
        <v>18</v>
      </c>
      <c r="AG32" s="34" t="s">
        <v>18</v>
      </c>
      <c r="AH32" s="34" t="s">
        <v>21</v>
      </c>
      <c r="AI32" s="34" t="s">
        <v>21</v>
      </c>
      <c r="AJ32" s="34"/>
      <c r="AL32" s="11">
        <f t="shared" si="10"/>
        <v>0</v>
      </c>
      <c r="AM32" s="11">
        <f t="shared" si="11"/>
        <v>7</v>
      </c>
      <c r="AN32" s="11">
        <f t="shared" si="12"/>
        <v>3</v>
      </c>
      <c r="AO32" s="11">
        <f t="shared" si="13"/>
        <v>8</v>
      </c>
      <c r="AP32" s="11">
        <f t="shared" si="14"/>
        <v>12</v>
      </c>
    </row>
    <row r="33" spans="2:42" ht="18.75" x14ac:dyDescent="0.25">
      <c r="B33" s="10" t="s">
        <v>49</v>
      </c>
      <c r="C33" s="82" t="s">
        <v>53</v>
      </c>
      <c r="D33" s="82"/>
      <c r="F33" s="34" t="s">
        <v>18</v>
      </c>
      <c r="G33" s="34" t="s">
        <v>18</v>
      </c>
      <c r="H33" s="34" t="s">
        <v>18</v>
      </c>
      <c r="I33" s="34" t="s">
        <v>21</v>
      </c>
      <c r="J33" s="34" t="s">
        <v>21</v>
      </c>
      <c r="K33" s="34" t="s">
        <v>22</v>
      </c>
      <c r="L33" s="34" t="s">
        <v>26</v>
      </c>
      <c r="M33" s="34" t="s">
        <v>26</v>
      </c>
      <c r="N33" s="34" t="s">
        <v>18</v>
      </c>
      <c r="O33" s="34" t="s">
        <v>18</v>
      </c>
      <c r="P33" s="34" t="s">
        <v>18</v>
      </c>
      <c r="Q33" s="34" t="s">
        <v>21</v>
      </c>
      <c r="R33" s="34" t="s">
        <v>22</v>
      </c>
      <c r="S33" s="34" t="s">
        <v>22</v>
      </c>
      <c r="T33" s="34" t="s">
        <v>26</v>
      </c>
      <c r="U33" s="34" t="s">
        <v>26</v>
      </c>
      <c r="V33" s="34" t="s">
        <v>18</v>
      </c>
      <c r="W33" s="34" t="s">
        <v>18</v>
      </c>
      <c r="X33" s="34" t="s">
        <v>18</v>
      </c>
      <c r="Y33" s="34" t="s">
        <v>21</v>
      </c>
      <c r="Z33" s="34" t="s">
        <v>21</v>
      </c>
      <c r="AA33" s="34" t="s">
        <v>22</v>
      </c>
      <c r="AB33" s="34" t="s">
        <v>22</v>
      </c>
      <c r="AC33" s="34" t="s">
        <v>26</v>
      </c>
      <c r="AD33" s="34" t="s">
        <v>18</v>
      </c>
      <c r="AE33" s="34" t="s">
        <v>18</v>
      </c>
      <c r="AF33" s="34" t="s">
        <v>18</v>
      </c>
      <c r="AG33" s="34" t="s">
        <v>21</v>
      </c>
      <c r="AH33" s="34" t="s">
        <v>21</v>
      </c>
      <c r="AI33" s="34" t="s">
        <v>22</v>
      </c>
      <c r="AJ33" s="34"/>
      <c r="AL33" s="11">
        <f t="shared" si="10"/>
        <v>0</v>
      </c>
      <c r="AM33" s="11">
        <f t="shared" si="11"/>
        <v>7</v>
      </c>
      <c r="AN33" s="11">
        <f t="shared" si="12"/>
        <v>6</v>
      </c>
      <c r="AO33" s="11">
        <f t="shared" si="13"/>
        <v>5</v>
      </c>
      <c r="AP33" s="11">
        <f t="shared" si="14"/>
        <v>12</v>
      </c>
    </row>
    <row r="34" spans="2:42" ht="18.75" x14ac:dyDescent="0.25">
      <c r="B34" s="10" t="s">
        <v>49</v>
      </c>
      <c r="C34" s="82" t="s">
        <v>54</v>
      </c>
      <c r="D34" s="82"/>
      <c r="F34" s="34" t="s">
        <v>18</v>
      </c>
      <c r="G34" s="34" t="s">
        <v>18</v>
      </c>
      <c r="H34" s="34" t="s">
        <v>21</v>
      </c>
      <c r="I34" s="34" t="s">
        <v>22</v>
      </c>
      <c r="J34" s="34" t="s">
        <v>26</v>
      </c>
      <c r="K34" s="34" t="s">
        <v>26</v>
      </c>
      <c r="L34" s="34" t="s">
        <v>26</v>
      </c>
      <c r="M34" s="34" t="s">
        <v>18</v>
      </c>
      <c r="N34" s="34" t="s">
        <v>18</v>
      </c>
      <c r="O34" s="34" t="s">
        <v>18</v>
      </c>
      <c r="P34" s="34" t="s">
        <v>21</v>
      </c>
      <c r="Q34" s="34" t="s">
        <v>22</v>
      </c>
      <c r="R34" s="34" t="s">
        <v>22</v>
      </c>
      <c r="S34" s="34" t="s">
        <v>26</v>
      </c>
      <c r="T34" s="34" t="s">
        <v>26</v>
      </c>
      <c r="U34" s="34" t="s">
        <v>18</v>
      </c>
      <c r="V34" s="34" t="s">
        <v>18</v>
      </c>
      <c r="W34" s="34" t="s">
        <v>18</v>
      </c>
      <c r="X34" s="34" t="s">
        <v>21</v>
      </c>
      <c r="Y34" s="34" t="s">
        <v>22</v>
      </c>
      <c r="Z34" s="34" t="s">
        <v>22</v>
      </c>
      <c r="AA34" s="34" t="s">
        <v>26</v>
      </c>
      <c r="AB34" s="34" t="s">
        <v>26</v>
      </c>
      <c r="AC34" s="34" t="s">
        <v>18</v>
      </c>
      <c r="AD34" s="34" t="s">
        <v>18</v>
      </c>
      <c r="AE34" s="34" t="s">
        <v>18</v>
      </c>
      <c r="AF34" s="34" t="s">
        <v>21</v>
      </c>
      <c r="AG34" s="34" t="s">
        <v>22</v>
      </c>
      <c r="AH34" s="34" t="s">
        <v>26</v>
      </c>
      <c r="AI34" s="34" t="s">
        <v>26</v>
      </c>
      <c r="AJ34" s="34"/>
      <c r="AL34" s="11">
        <f t="shared" si="10"/>
        <v>0</v>
      </c>
      <c r="AM34" s="11">
        <f t="shared" si="11"/>
        <v>4</v>
      </c>
      <c r="AN34" s="11">
        <f t="shared" si="12"/>
        <v>6</v>
      </c>
      <c r="AO34" s="11">
        <f t="shared" si="13"/>
        <v>9</v>
      </c>
      <c r="AP34" s="11">
        <f t="shared" si="14"/>
        <v>11</v>
      </c>
    </row>
    <row r="35" spans="2:42" ht="18.75" x14ac:dyDescent="0.25">
      <c r="B35" s="10" t="s">
        <v>49</v>
      </c>
      <c r="C35" s="82" t="s">
        <v>55</v>
      </c>
      <c r="D35" s="82"/>
      <c r="F35" s="34" t="s">
        <v>18</v>
      </c>
      <c r="G35" s="34" t="s">
        <v>21</v>
      </c>
      <c r="H35" s="34" t="s">
        <v>22</v>
      </c>
      <c r="I35" s="34" t="s">
        <v>22</v>
      </c>
      <c r="J35" s="34" t="s">
        <v>26</v>
      </c>
      <c r="K35" s="34" t="s">
        <v>26</v>
      </c>
      <c r="L35" s="34" t="s">
        <v>18</v>
      </c>
      <c r="M35" s="34" t="s">
        <v>18</v>
      </c>
      <c r="N35" s="34" t="s">
        <v>18</v>
      </c>
      <c r="O35" s="34" t="s">
        <v>21</v>
      </c>
      <c r="P35" s="34" t="s">
        <v>22</v>
      </c>
      <c r="Q35" s="34" t="s">
        <v>22</v>
      </c>
      <c r="R35" s="34" t="s">
        <v>26</v>
      </c>
      <c r="S35" s="34" t="s">
        <v>26</v>
      </c>
      <c r="T35" s="34" t="s">
        <v>18</v>
      </c>
      <c r="U35" s="34" t="s">
        <v>18</v>
      </c>
      <c r="V35" s="34" t="s">
        <v>18</v>
      </c>
      <c r="W35" s="34" t="s">
        <v>21</v>
      </c>
      <c r="X35" s="34" t="s">
        <v>22</v>
      </c>
      <c r="Y35" s="34" t="s">
        <v>22</v>
      </c>
      <c r="Z35" s="34" t="s">
        <v>26</v>
      </c>
      <c r="AA35" s="34" t="s">
        <v>26</v>
      </c>
      <c r="AB35" s="34" t="s">
        <v>18</v>
      </c>
      <c r="AC35" s="34" t="s">
        <v>18</v>
      </c>
      <c r="AD35" s="34" t="s">
        <v>18</v>
      </c>
      <c r="AE35" s="34" t="s">
        <v>21</v>
      </c>
      <c r="AF35" s="34" t="s">
        <v>22</v>
      </c>
      <c r="AG35" s="34" t="s">
        <v>22</v>
      </c>
      <c r="AH35" s="34" t="s">
        <v>26</v>
      </c>
      <c r="AI35" s="34" t="s">
        <v>26</v>
      </c>
      <c r="AJ35" s="34"/>
      <c r="AL35" s="11">
        <f t="shared" si="10"/>
        <v>0</v>
      </c>
      <c r="AM35" s="11">
        <f t="shared" si="11"/>
        <v>4</v>
      </c>
      <c r="AN35" s="11">
        <f t="shared" si="12"/>
        <v>8</v>
      </c>
      <c r="AO35" s="11">
        <f t="shared" si="13"/>
        <v>8</v>
      </c>
      <c r="AP35" s="11">
        <f t="shared" si="14"/>
        <v>10</v>
      </c>
    </row>
    <row r="36" spans="2:42" ht="18.75" x14ac:dyDescent="0.25">
      <c r="B36" s="10" t="s">
        <v>49</v>
      </c>
      <c r="C36" s="82" t="s">
        <v>56</v>
      </c>
      <c r="D36" s="82"/>
      <c r="F36" s="34" t="s">
        <v>21</v>
      </c>
      <c r="G36" s="34" t="s">
        <v>22</v>
      </c>
      <c r="H36" s="34" t="s">
        <v>22</v>
      </c>
      <c r="I36" s="34" t="s">
        <v>26</v>
      </c>
      <c r="J36" s="34" t="s">
        <v>26</v>
      </c>
      <c r="K36" s="34" t="s">
        <v>18</v>
      </c>
      <c r="L36" s="34" t="s">
        <v>18</v>
      </c>
      <c r="M36" s="34" t="s">
        <v>18</v>
      </c>
      <c r="N36" s="34" t="s">
        <v>21</v>
      </c>
      <c r="O36" s="34" t="s">
        <v>21</v>
      </c>
      <c r="P36" s="34" t="s">
        <v>22</v>
      </c>
      <c r="Q36" s="34" t="s">
        <v>26</v>
      </c>
      <c r="R36" s="34" t="s">
        <v>26</v>
      </c>
      <c r="S36" s="34" t="s">
        <v>18</v>
      </c>
      <c r="T36" s="34" t="s">
        <v>18</v>
      </c>
      <c r="U36" s="34" t="s">
        <v>18</v>
      </c>
      <c r="V36" s="34" t="s">
        <v>21</v>
      </c>
      <c r="W36" s="34" t="s">
        <v>22</v>
      </c>
      <c r="X36" s="34" t="s">
        <v>22</v>
      </c>
      <c r="Y36" s="34" t="s">
        <v>26</v>
      </c>
      <c r="Z36" s="34" t="s">
        <v>26</v>
      </c>
      <c r="AA36" s="34" t="s">
        <v>18</v>
      </c>
      <c r="AB36" s="36" t="s">
        <v>18</v>
      </c>
      <c r="AC36" s="34" t="s">
        <v>18</v>
      </c>
      <c r="AD36" s="34" t="s">
        <v>21</v>
      </c>
      <c r="AE36" s="34" t="s">
        <v>22</v>
      </c>
      <c r="AF36" s="34" t="s">
        <v>22</v>
      </c>
      <c r="AG36" s="34" t="s">
        <v>26</v>
      </c>
      <c r="AH36" s="34" t="s">
        <v>26</v>
      </c>
      <c r="AI36" s="34" t="s">
        <v>18</v>
      </c>
      <c r="AJ36" s="34"/>
      <c r="AL36" s="11">
        <f t="shared" si="10"/>
        <v>0</v>
      </c>
      <c r="AM36" s="11">
        <f t="shared" si="11"/>
        <v>5</v>
      </c>
      <c r="AN36" s="11">
        <f t="shared" si="12"/>
        <v>7</v>
      </c>
      <c r="AO36" s="11">
        <f t="shared" si="13"/>
        <v>8</v>
      </c>
      <c r="AP36" s="11">
        <f t="shared" si="14"/>
        <v>10</v>
      </c>
    </row>
    <row r="37" spans="2:42" ht="18.75" x14ac:dyDescent="0.25">
      <c r="B37" s="10" t="s">
        <v>49</v>
      </c>
      <c r="C37" s="82" t="s">
        <v>57</v>
      </c>
      <c r="D37" s="82"/>
      <c r="F37" s="34" t="s">
        <v>22</v>
      </c>
      <c r="G37" s="34" t="s">
        <v>22</v>
      </c>
      <c r="H37" s="34" t="s">
        <v>26</v>
      </c>
      <c r="I37" s="34" t="s">
        <v>26</v>
      </c>
      <c r="J37" s="34" t="s">
        <v>18</v>
      </c>
      <c r="K37" s="34" t="s">
        <v>18</v>
      </c>
      <c r="L37" s="34" t="s">
        <v>18</v>
      </c>
      <c r="M37" s="34" t="s">
        <v>21</v>
      </c>
      <c r="N37" s="34" t="s">
        <v>21</v>
      </c>
      <c r="O37" s="34" t="s">
        <v>22</v>
      </c>
      <c r="P37" s="34" t="s">
        <v>26</v>
      </c>
      <c r="Q37" s="34" t="s">
        <v>26</v>
      </c>
      <c r="R37" s="34" t="s">
        <v>18</v>
      </c>
      <c r="S37" s="34" t="s">
        <v>18</v>
      </c>
      <c r="T37" s="34" t="s">
        <v>18</v>
      </c>
      <c r="U37" s="34" t="s">
        <v>21</v>
      </c>
      <c r="V37" s="34" t="s">
        <v>22</v>
      </c>
      <c r="W37" s="34" t="s">
        <v>22</v>
      </c>
      <c r="X37" s="34" t="s">
        <v>26</v>
      </c>
      <c r="Y37" s="34" t="s">
        <v>26</v>
      </c>
      <c r="Z37" s="34" t="s">
        <v>18</v>
      </c>
      <c r="AA37" s="34" t="s">
        <v>18</v>
      </c>
      <c r="AB37" s="36" t="s">
        <v>18</v>
      </c>
      <c r="AC37" s="34" t="s">
        <v>21</v>
      </c>
      <c r="AD37" s="34" t="s">
        <v>22</v>
      </c>
      <c r="AE37" s="34" t="s">
        <v>22</v>
      </c>
      <c r="AF37" s="34" t="s">
        <v>26</v>
      </c>
      <c r="AG37" s="34" t="s">
        <v>26</v>
      </c>
      <c r="AH37" s="34" t="s">
        <v>18</v>
      </c>
      <c r="AI37" s="34" t="s">
        <v>18</v>
      </c>
      <c r="AJ37" s="34"/>
      <c r="AL37" s="11">
        <f t="shared" si="10"/>
        <v>0</v>
      </c>
      <c r="AM37" s="11">
        <f t="shared" si="11"/>
        <v>4</v>
      </c>
      <c r="AN37" s="11">
        <f t="shared" si="12"/>
        <v>7</v>
      </c>
      <c r="AO37" s="11">
        <f t="shared" si="13"/>
        <v>8</v>
      </c>
      <c r="AP37" s="11">
        <f t="shared" si="14"/>
        <v>11</v>
      </c>
    </row>
    <row r="38" spans="2:42" ht="18.75" x14ac:dyDescent="0.25">
      <c r="B38" s="10" t="s">
        <v>49</v>
      </c>
      <c r="C38" s="82" t="s">
        <v>58</v>
      </c>
      <c r="D38" s="82"/>
      <c r="F38" s="34" t="s">
        <v>22</v>
      </c>
      <c r="G38" s="34" t="s">
        <v>26</v>
      </c>
      <c r="H38" s="34" t="s">
        <v>26</v>
      </c>
      <c r="I38" s="34" t="s">
        <v>18</v>
      </c>
      <c r="J38" s="34" t="s">
        <v>18</v>
      </c>
      <c r="K38" s="34" t="s">
        <v>18</v>
      </c>
      <c r="L38" s="34" t="s">
        <v>21</v>
      </c>
      <c r="M38" s="34" t="s">
        <v>22</v>
      </c>
      <c r="N38" s="34" t="s">
        <v>22</v>
      </c>
      <c r="O38" s="34" t="s">
        <v>22</v>
      </c>
      <c r="P38" s="34" t="s">
        <v>26</v>
      </c>
      <c r="Q38" s="34" t="s">
        <v>18</v>
      </c>
      <c r="R38" s="34" t="s">
        <v>18</v>
      </c>
      <c r="S38" s="34" t="s">
        <v>18</v>
      </c>
      <c r="T38" s="34" t="s">
        <v>21</v>
      </c>
      <c r="U38" s="34" t="s">
        <v>22</v>
      </c>
      <c r="V38" s="34" t="s">
        <v>22</v>
      </c>
      <c r="W38" s="34" t="s">
        <v>26</v>
      </c>
      <c r="X38" s="34" t="s">
        <v>26</v>
      </c>
      <c r="Y38" s="34" t="s">
        <v>18</v>
      </c>
      <c r="Z38" s="34" t="s">
        <v>18</v>
      </c>
      <c r="AA38" s="34" t="s">
        <v>18</v>
      </c>
      <c r="AB38" s="34" t="s">
        <v>21</v>
      </c>
      <c r="AC38" s="34" t="s">
        <v>21</v>
      </c>
      <c r="AD38" s="34" t="s">
        <v>22</v>
      </c>
      <c r="AE38" s="34" t="s">
        <v>26</v>
      </c>
      <c r="AF38" s="34" t="s">
        <v>26</v>
      </c>
      <c r="AG38" s="34" t="s">
        <v>18</v>
      </c>
      <c r="AH38" s="34" t="s">
        <v>18</v>
      </c>
      <c r="AI38" s="34" t="s">
        <v>18</v>
      </c>
      <c r="AJ38" s="34"/>
      <c r="AL38" s="11">
        <f t="shared" si="10"/>
        <v>0</v>
      </c>
      <c r="AM38" s="11">
        <f t="shared" si="11"/>
        <v>4</v>
      </c>
      <c r="AN38" s="11">
        <f t="shared" si="12"/>
        <v>7</v>
      </c>
      <c r="AO38" s="11">
        <f t="shared" si="13"/>
        <v>7</v>
      </c>
      <c r="AP38" s="11">
        <f t="shared" si="14"/>
        <v>12</v>
      </c>
    </row>
    <row r="39" spans="2:42" ht="18.75" x14ac:dyDescent="0.25">
      <c r="B39" s="10" t="s">
        <v>49</v>
      </c>
      <c r="C39" s="82" t="s">
        <v>59</v>
      </c>
      <c r="D39" s="82"/>
      <c r="F39" s="34" t="s">
        <v>26</v>
      </c>
      <c r="G39" s="34" t="s">
        <v>26</v>
      </c>
      <c r="H39" s="34" t="s">
        <v>18</v>
      </c>
      <c r="I39" s="34" t="s">
        <v>18</v>
      </c>
      <c r="J39" s="34" t="s">
        <v>18</v>
      </c>
      <c r="K39" s="34" t="s">
        <v>21</v>
      </c>
      <c r="L39" s="34" t="s">
        <v>22</v>
      </c>
      <c r="M39" s="34" t="s">
        <v>22</v>
      </c>
      <c r="N39" s="34" t="s">
        <v>26</v>
      </c>
      <c r="O39" s="34" t="s">
        <v>26</v>
      </c>
      <c r="P39" s="34" t="s">
        <v>18</v>
      </c>
      <c r="Q39" s="34" t="s">
        <v>18</v>
      </c>
      <c r="R39" s="34" t="s">
        <v>18</v>
      </c>
      <c r="S39" s="34" t="s">
        <v>21</v>
      </c>
      <c r="T39" s="34" t="s">
        <v>22</v>
      </c>
      <c r="U39" s="34" t="s">
        <v>22</v>
      </c>
      <c r="V39" s="34" t="s">
        <v>26</v>
      </c>
      <c r="W39" s="34" t="s">
        <v>26</v>
      </c>
      <c r="X39" s="34" t="s">
        <v>18</v>
      </c>
      <c r="Y39" s="34" t="s">
        <v>18</v>
      </c>
      <c r="Z39" s="34" t="s">
        <v>18</v>
      </c>
      <c r="AA39" s="34" t="s">
        <v>21</v>
      </c>
      <c r="AB39" s="34" t="s">
        <v>22</v>
      </c>
      <c r="AC39" s="34" t="s">
        <v>22</v>
      </c>
      <c r="AD39" s="34" t="s">
        <v>26</v>
      </c>
      <c r="AE39" s="34" t="s">
        <v>26</v>
      </c>
      <c r="AF39" s="34" t="s">
        <v>18</v>
      </c>
      <c r="AG39" s="34" t="s">
        <v>18</v>
      </c>
      <c r="AH39" s="34" t="s">
        <v>18</v>
      </c>
      <c r="AI39" s="34" t="s">
        <v>21</v>
      </c>
      <c r="AJ39" s="34"/>
      <c r="AL39" s="11">
        <f t="shared" si="10"/>
        <v>0</v>
      </c>
      <c r="AM39" s="11">
        <f t="shared" si="11"/>
        <v>4</v>
      </c>
      <c r="AN39" s="11">
        <f t="shared" si="12"/>
        <v>6</v>
      </c>
      <c r="AO39" s="11">
        <f t="shared" si="13"/>
        <v>8</v>
      </c>
      <c r="AP39" s="11">
        <f t="shared" si="14"/>
        <v>12</v>
      </c>
    </row>
    <row r="40" spans="2:42" ht="18.75" x14ac:dyDescent="0.25">
      <c r="B40" s="10" t="s">
        <v>49</v>
      </c>
      <c r="C40" s="82" t="s">
        <v>60</v>
      </c>
      <c r="D40" s="82"/>
      <c r="F40" s="34" t="s">
        <v>26</v>
      </c>
      <c r="G40" s="34" t="s">
        <v>18</v>
      </c>
      <c r="H40" s="34" t="s">
        <v>18</v>
      </c>
      <c r="I40" s="34" t="s">
        <v>18</v>
      </c>
      <c r="J40" s="34" t="s">
        <v>21</v>
      </c>
      <c r="K40" s="34" t="s">
        <v>22</v>
      </c>
      <c r="L40" s="34" t="s">
        <v>22</v>
      </c>
      <c r="M40" s="34" t="s">
        <v>26</v>
      </c>
      <c r="N40" s="34" t="s">
        <v>26</v>
      </c>
      <c r="O40" s="34" t="s">
        <v>18</v>
      </c>
      <c r="P40" s="34" t="s">
        <v>18</v>
      </c>
      <c r="Q40" s="34" t="s">
        <v>18</v>
      </c>
      <c r="R40" s="34" t="s">
        <v>21</v>
      </c>
      <c r="S40" s="34" t="s">
        <v>22</v>
      </c>
      <c r="T40" s="34" t="s">
        <v>22</v>
      </c>
      <c r="U40" s="34" t="s">
        <v>22</v>
      </c>
      <c r="V40" s="34" t="s">
        <v>26</v>
      </c>
      <c r="W40" s="34" t="s">
        <v>18</v>
      </c>
      <c r="X40" s="34" t="s">
        <v>18</v>
      </c>
      <c r="Y40" s="34" t="s">
        <v>18</v>
      </c>
      <c r="Z40" s="34" t="s">
        <v>21</v>
      </c>
      <c r="AA40" s="34" t="s">
        <v>22</v>
      </c>
      <c r="AB40" s="36" t="s">
        <v>22</v>
      </c>
      <c r="AC40" s="34" t="s">
        <v>26</v>
      </c>
      <c r="AD40" s="34" t="s">
        <v>26</v>
      </c>
      <c r="AE40" s="34" t="s">
        <v>18</v>
      </c>
      <c r="AF40" s="34" t="s">
        <v>18</v>
      </c>
      <c r="AG40" s="34" t="s">
        <v>18</v>
      </c>
      <c r="AH40" s="34" t="s">
        <v>21</v>
      </c>
      <c r="AI40" s="34" t="s">
        <v>22</v>
      </c>
      <c r="AJ40" s="34"/>
      <c r="AL40" s="11">
        <f t="shared" si="10"/>
        <v>0</v>
      </c>
      <c r="AM40" s="11">
        <f t="shared" si="11"/>
        <v>4</v>
      </c>
      <c r="AN40" s="11">
        <f t="shared" si="12"/>
        <v>8</v>
      </c>
      <c r="AO40" s="11">
        <f t="shared" si="13"/>
        <v>6</v>
      </c>
      <c r="AP40" s="11">
        <f t="shared" si="14"/>
        <v>12</v>
      </c>
    </row>
    <row r="41" spans="2:42" ht="18.75" x14ac:dyDescent="0.25">
      <c r="B41" s="10" t="s">
        <v>49</v>
      </c>
      <c r="C41" s="82" t="s">
        <v>61</v>
      </c>
      <c r="D41" s="82"/>
      <c r="F41" s="34" t="s">
        <v>18</v>
      </c>
      <c r="G41" s="34" t="s">
        <v>18</v>
      </c>
      <c r="H41" s="34" t="s">
        <v>18</v>
      </c>
      <c r="I41" s="34" t="s">
        <v>21</v>
      </c>
      <c r="J41" s="34" t="s">
        <v>22</v>
      </c>
      <c r="K41" s="34" t="s">
        <v>22</v>
      </c>
      <c r="L41" s="34" t="s">
        <v>26</v>
      </c>
      <c r="M41" s="34" t="s">
        <v>26</v>
      </c>
      <c r="N41" s="34" t="s">
        <v>18</v>
      </c>
      <c r="O41" s="34" t="s">
        <v>18</v>
      </c>
      <c r="P41" s="34" t="s">
        <v>18</v>
      </c>
      <c r="Q41" s="34" t="s">
        <v>21</v>
      </c>
      <c r="R41" s="34" t="s">
        <v>22</v>
      </c>
      <c r="S41" s="34" t="s">
        <v>22</v>
      </c>
      <c r="T41" s="34" t="s">
        <v>26</v>
      </c>
      <c r="U41" s="34" t="s">
        <v>26</v>
      </c>
      <c r="V41" s="34" t="s">
        <v>18</v>
      </c>
      <c r="W41" s="34" t="s">
        <v>18</v>
      </c>
      <c r="X41" s="34" t="s">
        <v>18</v>
      </c>
      <c r="Y41" s="34" t="s">
        <v>21</v>
      </c>
      <c r="Z41" s="34" t="s">
        <v>22</v>
      </c>
      <c r="AA41" s="34" t="s">
        <v>26</v>
      </c>
      <c r="AB41" s="34" t="s">
        <v>26</v>
      </c>
      <c r="AC41" s="34" t="s">
        <v>26</v>
      </c>
      <c r="AD41" s="34" t="s">
        <v>18</v>
      </c>
      <c r="AE41" s="34" t="s">
        <v>18</v>
      </c>
      <c r="AF41" s="34" t="s">
        <v>18</v>
      </c>
      <c r="AG41" s="34" t="s">
        <v>21</v>
      </c>
      <c r="AH41" s="34" t="s">
        <v>22</v>
      </c>
      <c r="AI41" s="34" t="s">
        <v>22</v>
      </c>
      <c r="AJ41" s="34"/>
      <c r="AL41" s="11">
        <f t="shared" si="10"/>
        <v>0</v>
      </c>
      <c r="AM41" s="11">
        <f t="shared" si="11"/>
        <v>4</v>
      </c>
      <c r="AN41" s="11">
        <f t="shared" si="12"/>
        <v>7</v>
      </c>
      <c r="AO41" s="11">
        <f t="shared" si="13"/>
        <v>7</v>
      </c>
      <c r="AP41" s="11">
        <f t="shared" si="14"/>
        <v>12</v>
      </c>
    </row>
    <row r="42" spans="2:42" ht="18.75" x14ac:dyDescent="0.25">
      <c r="B42" s="10" t="s">
        <v>49</v>
      </c>
      <c r="C42" s="82" t="s">
        <v>62</v>
      </c>
      <c r="D42" s="82"/>
      <c r="F42" s="34" t="s">
        <v>18</v>
      </c>
      <c r="G42" s="34" t="s">
        <v>18</v>
      </c>
      <c r="H42" s="34" t="s">
        <v>21</v>
      </c>
      <c r="I42" s="34" t="s">
        <v>21</v>
      </c>
      <c r="J42" s="34" t="s">
        <v>22</v>
      </c>
      <c r="K42" s="34" t="s">
        <v>26</v>
      </c>
      <c r="L42" s="34" t="s">
        <v>26</v>
      </c>
      <c r="M42" s="34" t="s">
        <v>18</v>
      </c>
      <c r="N42" s="34" t="s">
        <v>18</v>
      </c>
      <c r="O42" s="34" t="s">
        <v>18</v>
      </c>
      <c r="P42" s="34" t="s">
        <v>21</v>
      </c>
      <c r="Q42" s="34" t="s">
        <v>21</v>
      </c>
      <c r="R42" s="34" t="s">
        <v>22</v>
      </c>
      <c r="S42" s="34" t="s">
        <v>26</v>
      </c>
      <c r="T42" s="34" t="s">
        <v>26</v>
      </c>
      <c r="U42" s="34" t="s">
        <v>18</v>
      </c>
      <c r="V42" s="34" t="s">
        <v>18</v>
      </c>
      <c r="W42" s="34" t="s">
        <v>18</v>
      </c>
      <c r="X42" s="34" t="s">
        <v>21</v>
      </c>
      <c r="Y42" s="34" t="s">
        <v>21</v>
      </c>
      <c r="Z42" s="34" t="s">
        <v>22</v>
      </c>
      <c r="AA42" s="34" t="s">
        <v>26</v>
      </c>
      <c r="AB42" s="34" t="s">
        <v>26</v>
      </c>
      <c r="AC42" s="34" t="s">
        <v>18</v>
      </c>
      <c r="AD42" s="34" t="s">
        <v>18</v>
      </c>
      <c r="AE42" s="34" t="s">
        <v>18</v>
      </c>
      <c r="AF42" s="34" t="s">
        <v>21</v>
      </c>
      <c r="AG42" s="34" t="s">
        <v>21</v>
      </c>
      <c r="AH42" s="34" t="s">
        <v>22</v>
      </c>
      <c r="AI42" s="34" t="s">
        <v>26</v>
      </c>
      <c r="AJ42" s="34"/>
      <c r="AL42" s="11">
        <f t="shared" si="10"/>
        <v>0</v>
      </c>
      <c r="AM42" s="11">
        <f t="shared" si="11"/>
        <v>8</v>
      </c>
      <c r="AN42" s="11">
        <f t="shared" si="12"/>
        <v>4</v>
      </c>
      <c r="AO42" s="11">
        <f t="shared" si="13"/>
        <v>7</v>
      </c>
      <c r="AP42" s="11">
        <f t="shared" si="14"/>
        <v>11</v>
      </c>
    </row>
    <row r="43" spans="2:42" ht="18.75" x14ac:dyDescent="0.25">
      <c r="B43" s="10" t="s">
        <v>49</v>
      </c>
      <c r="C43" s="82" t="s">
        <v>63</v>
      </c>
      <c r="D43" s="82"/>
      <c r="F43" s="34" t="s">
        <v>18</v>
      </c>
      <c r="G43" s="34" t="s">
        <v>21</v>
      </c>
      <c r="H43" s="34" t="s">
        <v>21</v>
      </c>
      <c r="I43" s="34" t="s">
        <v>22</v>
      </c>
      <c r="J43" s="34" t="s">
        <v>26</v>
      </c>
      <c r="K43" s="34" t="s">
        <v>26</v>
      </c>
      <c r="L43" s="34" t="s">
        <v>18</v>
      </c>
      <c r="M43" s="34" t="s">
        <v>18</v>
      </c>
      <c r="N43" s="34" t="s">
        <v>18</v>
      </c>
      <c r="O43" s="34" t="s">
        <v>21</v>
      </c>
      <c r="P43" s="34" t="s">
        <v>21</v>
      </c>
      <c r="Q43" s="34" t="s">
        <v>22</v>
      </c>
      <c r="R43" s="34" t="s">
        <v>26</v>
      </c>
      <c r="S43" s="34" t="s">
        <v>26</v>
      </c>
      <c r="T43" s="34" t="s">
        <v>18</v>
      </c>
      <c r="U43" s="34" t="s">
        <v>18</v>
      </c>
      <c r="V43" s="34" t="s">
        <v>18</v>
      </c>
      <c r="W43" s="34" t="s">
        <v>21</v>
      </c>
      <c r="X43" s="34" t="s">
        <v>21</v>
      </c>
      <c r="Y43" s="34" t="s">
        <v>22</v>
      </c>
      <c r="Z43" s="34" t="s">
        <v>26</v>
      </c>
      <c r="AA43" s="34" t="s">
        <v>26</v>
      </c>
      <c r="AB43" s="34" t="s">
        <v>18</v>
      </c>
      <c r="AC43" s="34" t="s">
        <v>18</v>
      </c>
      <c r="AD43" s="34" t="s">
        <v>18</v>
      </c>
      <c r="AE43" s="34" t="s">
        <v>21</v>
      </c>
      <c r="AF43" s="34" t="s">
        <v>21</v>
      </c>
      <c r="AG43" s="34" t="s">
        <v>22</v>
      </c>
      <c r="AH43" s="34" t="s">
        <v>26</v>
      </c>
      <c r="AI43" s="34" t="s">
        <v>26</v>
      </c>
      <c r="AJ43" s="34"/>
      <c r="AL43" s="11">
        <f t="shared" si="10"/>
        <v>0</v>
      </c>
      <c r="AM43" s="11">
        <f t="shared" si="11"/>
        <v>8</v>
      </c>
      <c r="AN43" s="11">
        <f t="shared" si="12"/>
        <v>4</v>
      </c>
      <c r="AO43" s="11">
        <f t="shared" si="13"/>
        <v>8</v>
      </c>
      <c r="AP43" s="11">
        <f t="shared" si="14"/>
        <v>10</v>
      </c>
    </row>
    <row r="44" spans="2:42" ht="18.75" x14ac:dyDescent="0.25">
      <c r="B44" s="10" t="s">
        <v>49</v>
      </c>
      <c r="C44" s="82" t="s">
        <v>64</v>
      </c>
      <c r="D44" s="82"/>
      <c r="F44" s="34" t="s">
        <v>21</v>
      </c>
      <c r="G44" s="34" t="s">
        <v>21</v>
      </c>
      <c r="H44" s="34" t="s">
        <v>22</v>
      </c>
      <c r="I44" s="34" t="s">
        <v>26</v>
      </c>
      <c r="J44" s="34" t="s">
        <v>26</v>
      </c>
      <c r="K44" s="34" t="s">
        <v>18</v>
      </c>
      <c r="L44" s="34" t="s">
        <v>18</v>
      </c>
      <c r="M44" s="34" t="s">
        <v>18</v>
      </c>
      <c r="N44" s="34" t="s">
        <v>21</v>
      </c>
      <c r="O44" s="34" t="s">
        <v>21</v>
      </c>
      <c r="P44" s="34" t="s">
        <v>22</v>
      </c>
      <c r="Q44" s="34" t="s">
        <v>26</v>
      </c>
      <c r="R44" s="34" t="s">
        <v>26</v>
      </c>
      <c r="S44" s="34" t="s">
        <v>18</v>
      </c>
      <c r="T44" s="34" t="s">
        <v>18</v>
      </c>
      <c r="U44" s="34" t="s">
        <v>18</v>
      </c>
      <c r="V44" s="34" t="s">
        <v>21</v>
      </c>
      <c r="W44" s="34" t="s">
        <v>21</v>
      </c>
      <c r="X44" s="34" t="s">
        <v>22</v>
      </c>
      <c r="Y44" s="34" t="s">
        <v>26</v>
      </c>
      <c r="Z44" s="34" t="s">
        <v>26</v>
      </c>
      <c r="AA44" s="34" t="s">
        <v>18</v>
      </c>
      <c r="AB44" s="34" t="s">
        <v>18</v>
      </c>
      <c r="AC44" s="34" t="s">
        <v>18</v>
      </c>
      <c r="AD44" s="34" t="s">
        <v>21</v>
      </c>
      <c r="AE44" s="34" t="s">
        <v>21</v>
      </c>
      <c r="AF44" s="34" t="s">
        <v>22</v>
      </c>
      <c r="AG44" s="34" t="s">
        <v>26</v>
      </c>
      <c r="AH44" s="34" t="s">
        <v>26</v>
      </c>
      <c r="AI44" s="34" t="s">
        <v>18</v>
      </c>
      <c r="AJ44" s="34"/>
      <c r="AL44" s="11">
        <f t="shared" si="10"/>
        <v>0</v>
      </c>
      <c r="AM44" s="11">
        <f t="shared" si="11"/>
        <v>8</v>
      </c>
      <c r="AN44" s="11">
        <f t="shared" si="12"/>
        <v>4</v>
      </c>
      <c r="AO44" s="11">
        <f t="shared" si="13"/>
        <v>8</v>
      </c>
      <c r="AP44" s="11">
        <f t="shared" si="14"/>
        <v>10</v>
      </c>
    </row>
    <row r="45" spans="2:42" ht="18.75" x14ac:dyDescent="0.25">
      <c r="B45" s="10" t="s">
        <v>49</v>
      </c>
      <c r="C45" s="82" t="s">
        <v>65</v>
      </c>
      <c r="D45" s="82"/>
      <c r="F45" s="34" t="s">
        <v>22</v>
      </c>
      <c r="G45" s="34" t="s">
        <v>22</v>
      </c>
      <c r="H45" s="34" t="s">
        <v>26</v>
      </c>
      <c r="I45" s="34" t="s">
        <v>26</v>
      </c>
      <c r="J45" s="34" t="s">
        <v>18</v>
      </c>
      <c r="K45" s="34" t="s">
        <v>18</v>
      </c>
      <c r="L45" s="34" t="s">
        <v>18</v>
      </c>
      <c r="M45" s="34" t="s">
        <v>21</v>
      </c>
      <c r="N45" s="34" t="s">
        <v>21</v>
      </c>
      <c r="O45" s="34" t="s">
        <v>22</v>
      </c>
      <c r="P45" s="34" t="s">
        <v>26</v>
      </c>
      <c r="Q45" s="34" t="s">
        <v>26</v>
      </c>
      <c r="R45" s="34" t="s">
        <v>18</v>
      </c>
      <c r="S45" s="34" t="s">
        <v>18</v>
      </c>
      <c r="T45" s="34" t="s">
        <v>18</v>
      </c>
      <c r="U45" s="34" t="s">
        <v>21</v>
      </c>
      <c r="V45" s="34" t="s">
        <v>22</v>
      </c>
      <c r="W45" s="34" t="s">
        <v>26</v>
      </c>
      <c r="X45" s="34" t="s">
        <v>26</v>
      </c>
      <c r="Y45" s="34" t="s">
        <v>26</v>
      </c>
      <c r="Z45" s="34" t="s">
        <v>18</v>
      </c>
      <c r="AA45" s="34" t="s">
        <v>18</v>
      </c>
      <c r="AB45" s="34" t="s">
        <v>18</v>
      </c>
      <c r="AC45" s="34" t="s">
        <v>21</v>
      </c>
      <c r="AD45" s="34" t="s">
        <v>22</v>
      </c>
      <c r="AE45" s="34" t="s">
        <v>22</v>
      </c>
      <c r="AF45" s="34" t="s">
        <v>26</v>
      </c>
      <c r="AG45" s="34" t="s">
        <v>26</v>
      </c>
      <c r="AH45" s="34" t="s">
        <v>18</v>
      </c>
      <c r="AI45" s="34" t="s">
        <v>18</v>
      </c>
      <c r="AJ45" s="34"/>
      <c r="AL45" s="11">
        <f t="shared" si="10"/>
        <v>0</v>
      </c>
      <c r="AM45" s="11">
        <f t="shared" si="11"/>
        <v>4</v>
      </c>
      <c r="AN45" s="11">
        <f t="shared" si="12"/>
        <v>6</v>
      </c>
      <c r="AO45" s="11">
        <f t="shared" si="13"/>
        <v>9</v>
      </c>
      <c r="AP45" s="11">
        <f t="shared" si="14"/>
        <v>11</v>
      </c>
    </row>
    <row r="46" spans="2:42" ht="18.75" x14ac:dyDescent="0.25">
      <c r="B46" s="10" t="s">
        <v>49</v>
      </c>
      <c r="C46" s="82" t="s">
        <v>66</v>
      </c>
      <c r="D46" s="82"/>
      <c r="F46" s="34" t="s">
        <v>22</v>
      </c>
      <c r="G46" s="34" t="s">
        <v>26</v>
      </c>
      <c r="H46" s="34" t="s">
        <v>26</v>
      </c>
      <c r="I46" s="34" t="s">
        <v>18</v>
      </c>
      <c r="J46" s="34" t="s">
        <v>18</v>
      </c>
      <c r="K46" s="34" t="s">
        <v>18</v>
      </c>
      <c r="L46" s="34" t="s">
        <v>21</v>
      </c>
      <c r="M46" s="34" t="s">
        <v>22</v>
      </c>
      <c r="N46" s="34" t="s">
        <v>22</v>
      </c>
      <c r="O46" s="34" t="s">
        <v>26</v>
      </c>
      <c r="P46" s="34" t="s">
        <v>26</v>
      </c>
      <c r="Q46" s="34" t="s">
        <v>18</v>
      </c>
      <c r="R46" s="34" t="s">
        <v>18</v>
      </c>
      <c r="S46" s="34" t="s">
        <v>18</v>
      </c>
      <c r="T46" s="34" t="s">
        <v>21</v>
      </c>
      <c r="U46" s="34" t="s">
        <v>22</v>
      </c>
      <c r="V46" s="34" t="s">
        <v>22</v>
      </c>
      <c r="W46" s="34" t="s">
        <v>26</v>
      </c>
      <c r="X46" s="34" t="s">
        <v>26</v>
      </c>
      <c r="Y46" s="34" t="s">
        <v>18</v>
      </c>
      <c r="Z46" s="34" t="s">
        <v>18</v>
      </c>
      <c r="AA46" s="34" t="s">
        <v>18</v>
      </c>
      <c r="AB46" s="36" t="s">
        <v>21</v>
      </c>
      <c r="AC46" s="34" t="s">
        <v>22</v>
      </c>
      <c r="AD46" s="34" t="s">
        <v>22</v>
      </c>
      <c r="AE46" s="34" t="s">
        <v>26</v>
      </c>
      <c r="AF46" s="34" t="s">
        <v>26</v>
      </c>
      <c r="AG46" s="34" t="s">
        <v>18</v>
      </c>
      <c r="AH46" s="34" t="s">
        <v>18</v>
      </c>
      <c r="AI46" s="34" t="s">
        <v>18</v>
      </c>
      <c r="AJ46" s="34"/>
      <c r="AL46" s="11">
        <f t="shared" si="10"/>
        <v>0</v>
      </c>
      <c r="AM46" s="11">
        <f t="shared" si="11"/>
        <v>3</v>
      </c>
      <c r="AN46" s="11">
        <f t="shared" si="12"/>
        <v>7</v>
      </c>
      <c r="AO46" s="11">
        <f t="shared" si="13"/>
        <v>8</v>
      </c>
      <c r="AP46" s="11">
        <f t="shared" si="14"/>
        <v>12</v>
      </c>
    </row>
    <row r="47" spans="2:42" ht="18.75" x14ac:dyDescent="0.25">
      <c r="B47" s="10" t="s">
        <v>49</v>
      </c>
      <c r="C47" s="82" t="s">
        <v>67</v>
      </c>
      <c r="D47" s="82"/>
      <c r="F47" s="34" t="s">
        <v>26</v>
      </c>
      <c r="G47" s="34" t="s">
        <v>18</v>
      </c>
      <c r="H47" s="34" t="s">
        <v>18</v>
      </c>
      <c r="I47" s="34" t="s">
        <v>18</v>
      </c>
      <c r="J47" s="34" t="s">
        <v>21</v>
      </c>
      <c r="K47" s="34" t="s">
        <v>21</v>
      </c>
      <c r="L47" s="34" t="s">
        <v>22</v>
      </c>
      <c r="M47" s="34" t="s">
        <v>26</v>
      </c>
      <c r="N47" s="34" t="s">
        <v>26</v>
      </c>
      <c r="O47" s="34" t="s">
        <v>18</v>
      </c>
      <c r="P47" s="34" t="s">
        <v>18</v>
      </c>
      <c r="Q47" s="34" t="s">
        <v>18</v>
      </c>
      <c r="R47" s="34" t="s">
        <v>21</v>
      </c>
      <c r="S47" s="34" t="s">
        <v>22</v>
      </c>
      <c r="T47" s="34" t="s">
        <v>22</v>
      </c>
      <c r="U47" s="34" t="s">
        <v>26</v>
      </c>
      <c r="V47" s="34" t="s">
        <v>26</v>
      </c>
      <c r="W47" s="34" t="s">
        <v>18</v>
      </c>
      <c r="X47" s="34" t="s">
        <v>18</v>
      </c>
      <c r="Y47" s="34" t="s">
        <v>18</v>
      </c>
      <c r="Z47" s="34" t="s">
        <v>21</v>
      </c>
      <c r="AA47" s="34" t="s">
        <v>22</v>
      </c>
      <c r="AB47" s="34" t="s">
        <v>26</v>
      </c>
      <c r="AC47" s="34" t="s">
        <v>26</v>
      </c>
      <c r="AD47" s="34" t="s">
        <v>26</v>
      </c>
      <c r="AE47" s="34" t="s">
        <v>18</v>
      </c>
      <c r="AF47" s="34" t="s">
        <v>18</v>
      </c>
      <c r="AG47" s="34" t="s">
        <v>18</v>
      </c>
      <c r="AH47" s="34" t="s">
        <v>21</v>
      </c>
      <c r="AI47" s="34" t="s">
        <v>21</v>
      </c>
      <c r="AJ47" s="34"/>
      <c r="AL47" s="11">
        <f t="shared" si="10"/>
        <v>0</v>
      </c>
      <c r="AM47" s="11">
        <f t="shared" si="11"/>
        <v>6</v>
      </c>
      <c r="AN47" s="11">
        <f t="shared" si="12"/>
        <v>4</v>
      </c>
      <c r="AO47" s="11">
        <f t="shared" si="13"/>
        <v>8</v>
      </c>
      <c r="AP47" s="11">
        <f t="shared" si="14"/>
        <v>12</v>
      </c>
    </row>
    <row r="48" spans="2:42" ht="18.75" x14ac:dyDescent="0.25">
      <c r="B48" s="10" t="s">
        <v>49</v>
      </c>
      <c r="C48" s="82" t="s">
        <v>68</v>
      </c>
      <c r="D48" s="82"/>
      <c r="F48" s="34" t="s">
        <v>18</v>
      </c>
      <c r="G48" s="34" t="s">
        <v>18</v>
      </c>
      <c r="H48" s="34" t="s">
        <v>18</v>
      </c>
      <c r="I48" s="34" t="s">
        <v>21</v>
      </c>
      <c r="J48" s="34" t="s">
        <v>22</v>
      </c>
      <c r="K48" s="34" t="s">
        <v>22</v>
      </c>
      <c r="L48" s="34" t="s">
        <v>26</v>
      </c>
      <c r="M48" s="34" t="s">
        <v>26</v>
      </c>
      <c r="N48" s="34" t="s">
        <v>18</v>
      </c>
      <c r="O48" s="34" t="s">
        <v>18</v>
      </c>
      <c r="P48" s="34" t="s">
        <v>18</v>
      </c>
      <c r="Q48" s="34" t="s">
        <v>21</v>
      </c>
      <c r="R48" s="34" t="s">
        <v>22</v>
      </c>
      <c r="S48" s="34" t="s">
        <v>26</v>
      </c>
      <c r="T48" s="34" t="s">
        <v>26</v>
      </c>
      <c r="U48" s="34" t="s">
        <v>26</v>
      </c>
      <c r="V48" s="34" t="s">
        <v>18</v>
      </c>
      <c r="W48" s="34" t="s">
        <v>18</v>
      </c>
      <c r="X48" s="34" t="s">
        <v>18</v>
      </c>
      <c r="Y48" s="34" t="s">
        <v>21</v>
      </c>
      <c r="Z48" s="34" t="s">
        <v>21</v>
      </c>
      <c r="AA48" s="34" t="s">
        <v>22</v>
      </c>
      <c r="AB48" s="34" t="s">
        <v>26</v>
      </c>
      <c r="AC48" s="34" t="s">
        <v>26</v>
      </c>
      <c r="AD48" s="34" t="s">
        <v>18</v>
      </c>
      <c r="AE48" s="34" t="s">
        <v>18</v>
      </c>
      <c r="AF48" s="34" t="s">
        <v>18</v>
      </c>
      <c r="AG48" s="34" t="s">
        <v>21</v>
      </c>
      <c r="AH48" s="34" t="s">
        <v>22</v>
      </c>
      <c r="AI48" s="34" t="s">
        <v>22</v>
      </c>
      <c r="AJ48" s="34"/>
      <c r="AL48" s="11">
        <f t="shared" si="10"/>
        <v>0</v>
      </c>
      <c r="AM48" s="11">
        <f t="shared" si="11"/>
        <v>5</v>
      </c>
      <c r="AN48" s="11">
        <f t="shared" si="12"/>
        <v>6</v>
      </c>
      <c r="AO48" s="11">
        <f t="shared" si="13"/>
        <v>7</v>
      </c>
      <c r="AP48" s="11">
        <f t="shared" si="14"/>
        <v>12</v>
      </c>
    </row>
    <row r="49" spans="2:42" ht="18.75" x14ac:dyDescent="0.25">
      <c r="B49" s="10" t="s">
        <v>49</v>
      </c>
      <c r="C49" s="82" t="s">
        <v>69</v>
      </c>
      <c r="D49" s="82"/>
      <c r="F49" s="34" t="s">
        <v>18</v>
      </c>
      <c r="G49" s="34" t="s">
        <v>21</v>
      </c>
      <c r="H49" s="34" t="s">
        <v>22</v>
      </c>
      <c r="I49" s="34" t="s">
        <v>22</v>
      </c>
      <c r="J49" s="34" t="s">
        <v>26</v>
      </c>
      <c r="K49" s="34" t="s">
        <v>26</v>
      </c>
      <c r="L49" s="34" t="s">
        <v>18</v>
      </c>
      <c r="M49" s="34" t="s">
        <v>18</v>
      </c>
      <c r="N49" s="34" t="s">
        <v>18</v>
      </c>
      <c r="O49" s="34" t="s">
        <v>21</v>
      </c>
      <c r="P49" s="34" t="s">
        <v>22</v>
      </c>
      <c r="Q49" s="34" t="s">
        <v>22</v>
      </c>
      <c r="R49" s="34" t="s">
        <v>26</v>
      </c>
      <c r="S49" s="34" t="s">
        <v>26</v>
      </c>
      <c r="T49" s="34" t="s">
        <v>18</v>
      </c>
      <c r="U49" s="34" t="s">
        <v>18</v>
      </c>
      <c r="V49" s="34" t="s">
        <v>18</v>
      </c>
      <c r="W49" s="34" t="s">
        <v>21</v>
      </c>
      <c r="X49" s="34" t="s">
        <v>22</v>
      </c>
      <c r="Y49" s="34" t="s">
        <v>22</v>
      </c>
      <c r="Z49" s="34" t="s">
        <v>26</v>
      </c>
      <c r="AA49" s="34" t="s">
        <v>26</v>
      </c>
      <c r="AB49" s="34" t="s">
        <v>18</v>
      </c>
      <c r="AC49" s="34" t="s">
        <v>18</v>
      </c>
      <c r="AD49" s="34" t="s">
        <v>18</v>
      </c>
      <c r="AE49" s="34" t="s">
        <v>21</v>
      </c>
      <c r="AF49" s="34" t="s">
        <v>22</v>
      </c>
      <c r="AG49" s="34" t="s">
        <v>22</v>
      </c>
      <c r="AH49" s="34" t="s">
        <v>26</v>
      </c>
      <c r="AI49" s="34" t="s">
        <v>26</v>
      </c>
      <c r="AJ49" s="34"/>
      <c r="AL49" s="11">
        <f t="shared" si="10"/>
        <v>0</v>
      </c>
      <c r="AM49" s="11">
        <f t="shared" si="11"/>
        <v>4</v>
      </c>
      <c r="AN49" s="11">
        <f t="shared" si="12"/>
        <v>8</v>
      </c>
      <c r="AO49" s="11">
        <f t="shared" si="13"/>
        <v>8</v>
      </c>
      <c r="AP49" s="11">
        <f t="shared" si="14"/>
        <v>10</v>
      </c>
    </row>
    <row r="50" spans="2:42" ht="18.75" x14ac:dyDescent="0.25">
      <c r="B50" s="10" t="s">
        <v>49</v>
      </c>
      <c r="C50" s="82" t="s">
        <v>70</v>
      </c>
      <c r="D50" s="82"/>
      <c r="F50" s="34" t="s">
        <v>21</v>
      </c>
      <c r="G50" s="34" t="s">
        <v>22</v>
      </c>
      <c r="H50" s="34" t="s">
        <v>22</v>
      </c>
      <c r="I50" s="34" t="s">
        <v>26</v>
      </c>
      <c r="J50" s="34" t="s">
        <v>26</v>
      </c>
      <c r="K50" s="34" t="s">
        <v>18</v>
      </c>
      <c r="L50" s="34" t="s">
        <v>18</v>
      </c>
      <c r="M50" s="34" t="s">
        <v>18</v>
      </c>
      <c r="N50" s="34" t="s">
        <v>21</v>
      </c>
      <c r="O50" s="34" t="s">
        <v>22</v>
      </c>
      <c r="P50" s="34" t="s">
        <v>22</v>
      </c>
      <c r="Q50" s="34" t="s">
        <v>26</v>
      </c>
      <c r="R50" s="34" t="s">
        <v>26</v>
      </c>
      <c r="S50" s="34" t="s">
        <v>18</v>
      </c>
      <c r="T50" s="34" t="s">
        <v>18</v>
      </c>
      <c r="U50" s="34" t="s">
        <v>18</v>
      </c>
      <c r="V50" s="34" t="s">
        <v>21</v>
      </c>
      <c r="W50" s="34" t="s">
        <v>22</v>
      </c>
      <c r="X50" s="34" t="s">
        <v>26</v>
      </c>
      <c r="Y50" s="34" t="s">
        <v>26</v>
      </c>
      <c r="Z50" s="34" t="s">
        <v>26</v>
      </c>
      <c r="AA50" s="34" t="s">
        <v>18</v>
      </c>
      <c r="AB50" s="34" t="s">
        <v>18</v>
      </c>
      <c r="AC50" s="34" t="s">
        <v>18</v>
      </c>
      <c r="AD50" s="34" t="s">
        <v>21</v>
      </c>
      <c r="AE50" s="34" t="s">
        <v>22</v>
      </c>
      <c r="AF50" s="34" t="s">
        <v>22</v>
      </c>
      <c r="AG50" s="34" t="s">
        <v>26</v>
      </c>
      <c r="AH50" s="34" t="s">
        <v>26</v>
      </c>
      <c r="AI50" s="34" t="s">
        <v>18</v>
      </c>
      <c r="AJ50" s="34"/>
      <c r="AL50" s="11">
        <f t="shared" si="10"/>
        <v>0</v>
      </c>
      <c r="AM50" s="11">
        <f t="shared" si="11"/>
        <v>4</v>
      </c>
      <c r="AN50" s="11">
        <f t="shared" si="12"/>
        <v>7</v>
      </c>
      <c r="AO50" s="11">
        <f t="shared" si="13"/>
        <v>9</v>
      </c>
      <c r="AP50" s="11">
        <f t="shared" si="14"/>
        <v>10</v>
      </c>
    </row>
    <row r="51" spans="2:42" ht="18.75" x14ac:dyDescent="0.25">
      <c r="B51" s="10" t="s">
        <v>49</v>
      </c>
      <c r="C51" s="82" t="s">
        <v>71</v>
      </c>
      <c r="D51" s="82"/>
      <c r="F51" s="34" t="s">
        <v>22</v>
      </c>
      <c r="G51" s="34" t="s">
        <v>22</v>
      </c>
      <c r="H51" s="34" t="s">
        <v>26</v>
      </c>
      <c r="I51" s="34" t="s">
        <v>26</v>
      </c>
      <c r="J51" s="34" t="s">
        <v>18</v>
      </c>
      <c r="K51" s="34" t="s">
        <v>18</v>
      </c>
      <c r="L51" s="34" t="s">
        <v>18</v>
      </c>
      <c r="M51" s="34" t="s">
        <v>21</v>
      </c>
      <c r="N51" s="34" t="s">
        <v>22</v>
      </c>
      <c r="O51" s="34" t="s">
        <v>22</v>
      </c>
      <c r="P51" s="34" t="s">
        <v>26</v>
      </c>
      <c r="Q51" s="34" t="s">
        <v>26</v>
      </c>
      <c r="R51" s="34" t="s">
        <v>18</v>
      </c>
      <c r="S51" s="34" t="s">
        <v>18</v>
      </c>
      <c r="T51" s="34" t="s">
        <v>18</v>
      </c>
      <c r="U51" s="34" t="s">
        <v>21</v>
      </c>
      <c r="V51" s="34" t="s">
        <v>21</v>
      </c>
      <c r="W51" s="34" t="s">
        <v>22</v>
      </c>
      <c r="X51" s="34" t="s">
        <v>26</v>
      </c>
      <c r="Y51" s="34" t="s">
        <v>26</v>
      </c>
      <c r="Z51" s="34" t="s">
        <v>18</v>
      </c>
      <c r="AA51" s="34" t="s">
        <v>18</v>
      </c>
      <c r="AB51" s="34" t="s">
        <v>18</v>
      </c>
      <c r="AC51" s="34" t="s">
        <v>21</v>
      </c>
      <c r="AD51" s="34" t="s">
        <v>22</v>
      </c>
      <c r="AE51" s="34" t="s">
        <v>22</v>
      </c>
      <c r="AF51" s="34" t="s">
        <v>26</v>
      </c>
      <c r="AG51" s="34" t="s">
        <v>26</v>
      </c>
      <c r="AH51" s="34" t="s">
        <v>18</v>
      </c>
      <c r="AI51" s="34" t="s">
        <v>18</v>
      </c>
      <c r="AJ51" s="34"/>
      <c r="AL51" s="11">
        <f t="shared" si="10"/>
        <v>0</v>
      </c>
      <c r="AM51" s="11">
        <f t="shared" si="11"/>
        <v>4</v>
      </c>
      <c r="AN51" s="11">
        <f t="shared" si="12"/>
        <v>7</v>
      </c>
      <c r="AO51" s="11">
        <f t="shared" si="13"/>
        <v>8</v>
      </c>
      <c r="AP51" s="11">
        <f t="shared" si="14"/>
        <v>11</v>
      </c>
    </row>
    <row r="52" spans="2:42" ht="18.75" x14ac:dyDescent="0.25">
      <c r="B52" s="10" t="s">
        <v>49</v>
      </c>
      <c r="C52" s="82" t="s">
        <v>72</v>
      </c>
      <c r="D52" s="82"/>
      <c r="F52" s="34" t="s">
        <v>22</v>
      </c>
      <c r="G52" s="34" t="s">
        <v>26</v>
      </c>
      <c r="H52" s="34" t="s">
        <v>26</v>
      </c>
      <c r="I52" s="34" t="s">
        <v>18</v>
      </c>
      <c r="J52" s="34" t="s">
        <v>18</v>
      </c>
      <c r="K52" s="34" t="s">
        <v>18</v>
      </c>
      <c r="L52" s="34" t="s">
        <v>21</v>
      </c>
      <c r="M52" s="34" t="s">
        <v>22</v>
      </c>
      <c r="N52" s="34" t="s">
        <v>22</v>
      </c>
      <c r="O52" s="34" t="s">
        <v>26</v>
      </c>
      <c r="P52" s="34" t="s">
        <v>26</v>
      </c>
      <c r="Q52" s="34" t="s">
        <v>18</v>
      </c>
      <c r="R52" s="34" t="s">
        <v>18</v>
      </c>
      <c r="S52" s="34" t="s">
        <v>18</v>
      </c>
      <c r="T52" s="34" t="s">
        <v>21</v>
      </c>
      <c r="U52" s="34" t="s">
        <v>21</v>
      </c>
      <c r="V52" s="34" t="s">
        <v>22</v>
      </c>
      <c r="W52" s="34" t="s">
        <v>26</v>
      </c>
      <c r="X52" s="34" t="s">
        <v>26</v>
      </c>
      <c r="Y52" s="34" t="s">
        <v>18</v>
      </c>
      <c r="Z52" s="34" t="s">
        <v>18</v>
      </c>
      <c r="AA52" s="34" t="s">
        <v>18</v>
      </c>
      <c r="AB52" s="34" t="s">
        <v>21</v>
      </c>
      <c r="AC52" s="34" t="s">
        <v>22</v>
      </c>
      <c r="AD52" s="34" t="s">
        <v>22</v>
      </c>
      <c r="AE52" s="34" t="s">
        <v>26</v>
      </c>
      <c r="AF52" s="34" t="s">
        <v>26</v>
      </c>
      <c r="AG52" s="34" t="s">
        <v>18</v>
      </c>
      <c r="AH52" s="34" t="s">
        <v>18</v>
      </c>
      <c r="AI52" s="34" t="s">
        <v>18</v>
      </c>
      <c r="AJ52" s="34"/>
      <c r="AL52" s="11">
        <f t="shared" si="10"/>
        <v>0</v>
      </c>
      <c r="AM52" s="11">
        <f t="shared" si="11"/>
        <v>4</v>
      </c>
      <c r="AN52" s="11">
        <f t="shared" si="12"/>
        <v>6</v>
      </c>
      <c r="AO52" s="11">
        <f t="shared" si="13"/>
        <v>8</v>
      </c>
      <c r="AP52" s="11">
        <f t="shared" si="14"/>
        <v>12</v>
      </c>
    </row>
    <row r="53" spans="2:42" ht="18.75" x14ac:dyDescent="0.25">
      <c r="B53" s="10" t="s">
        <v>49</v>
      </c>
      <c r="C53" s="82" t="s">
        <v>73</v>
      </c>
      <c r="D53" s="82"/>
      <c r="F53" s="34" t="s">
        <v>74</v>
      </c>
      <c r="G53" s="34" t="s">
        <v>26</v>
      </c>
      <c r="H53" s="34" t="s">
        <v>18</v>
      </c>
      <c r="I53" s="34" t="s">
        <v>18</v>
      </c>
      <c r="J53" s="34" t="s">
        <v>18</v>
      </c>
      <c r="K53" s="34" t="s">
        <v>21</v>
      </c>
      <c r="L53" s="34" t="s">
        <v>22</v>
      </c>
      <c r="M53" s="34" t="s">
        <v>22</v>
      </c>
      <c r="N53" s="34" t="s">
        <v>26</v>
      </c>
      <c r="O53" s="34" t="s">
        <v>26</v>
      </c>
      <c r="P53" s="34" t="s">
        <v>18</v>
      </c>
      <c r="Q53" s="34" t="s">
        <v>18</v>
      </c>
      <c r="R53" s="34" t="s">
        <v>18</v>
      </c>
      <c r="S53" s="34" t="s">
        <v>21</v>
      </c>
      <c r="T53" s="34" t="s">
        <v>21</v>
      </c>
      <c r="U53" s="34" t="s">
        <v>22</v>
      </c>
      <c r="V53" s="34" t="s">
        <v>26</v>
      </c>
      <c r="W53" s="34" t="s">
        <v>26</v>
      </c>
      <c r="X53" s="34" t="s">
        <v>18</v>
      </c>
      <c r="Y53" s="34" t="s">
        <v>18</v>
      </c>
      <c r="Z53" s="34" t="s">
        <v>18</v>
      </c>
      <c r="AA53" s="34" t="s">
        <v>21</v>
      </c>
      <c r="AB53" s="34" t="s">
        <v>22</v>
      </c>
      <c r="AC53" s="34" t="s">
        <v>22</v>
      </c>
      <c r="AD53" s="34" t="s">
        <v>74</v>
      </c>
      <c r="AE53" s="34" t="s">
        <v>26</v>
      </c>
      <c r="AF53" s="34" t="s">
        <v>18</v>
      </c>
      <c r="AG53" s="34" t="s">
        <v>18</v>
      </c>
      <c r="AH53" s="34" t="s">
        <v>18</v>
      </c>
      <c r="AI53" s="34" t="s">
        <v>21</v>
      </c>
      <c r="AJ53" s="34"/>
      <c r="AL53" s="11">
        <f t="shared" si="10"/>
        <v>2</v>
      </c>
      <c r="AM53" s="11">
        <f t="shared" si="11"/>
        <v>5</v>
      </c>
      <c r="AN53" s="11">
        <f t="shared" si="12"/>
        <v>5</v>
      </c>
      <c r="AO53" s="11">
        <f t="shared" si="13"/>
        <v>6</v>
      </c>
      <c r="AP53" s="11">
        <f t="shared" si="14"/>
        <v>12</v>
      </c>
    </row>
    <row r="54" spans="2:42" ht="18.75" x14ac:dyDescent="0.25">
      <c r="B54" s="10" t="s">
        <v>49</v>
      </c>
      <c r="C54" s="82" t="s">
        <v>75</v>
      </c>
      <c r="D54" s="82"/>
      <c r="F54" s="34" t="s">
        <v>26</v>
      </c>
      <c r="G54" s="34" t="s">
        <v>18</v>
      </c>
      <c r="H54" s="34" t="s">
        <v>18</v>
      </c>
      <c r="I54" s="34" t="s">
        <v>18</v>
      </c>
      <c r="J54" s="34" t="s">
        <v>21</v>
      </c>
      <c r="K54" s="34" t="s">
        <v>22</v>
      </c>
      <c r="L54" s="34" t="s">
        <v>22</v>
      </c>
      <c r="M54" s="34" t="s">
        <v>26</v>
      </c>
      <c r="N54" s="34" t="s">
        <v>26</v>
      </c>
      <c r="O54" s="34" t="s">
        <v>18</v>
      </c>
      <c r="P54" s="34" t="s">
        <v>18</v>
      </c>
      <c r="Q54" s="34" t="s">
        <v>18</v>
      </c>
      <c r="R54" s="34" t="s">
        <v>21</v>
      </c>
      <c r="S54" s="34" t="s">
        <v>21</v>
      </c>
      <c r="T54" s="34" t="s">
        <v>22</v>
      </c>
      <c r="U54" s="34" t="s">
        <v>26</v>
      </c>
      <c r="V54" s="34" t="s">
        <v>26</v>
      </c>
      <c r="W54" s="34" t="s">
        <v>18</v>
      </c>
      <c r="X54" s="34" t="s">
        <v>18</v>
      </c>
      <c r="Y54" s="34" t="s">
        <v>18</v>
      </c>
      <c r="Z54" s="34" t="s">
        <v>21</v>
      </c>
      <c r="AA54" s="34" t="s">
        <v>22</v>
      </c>
      <c r="AB54" s="34" t="s">
        <v>22</v>
      </c>
      <c r="AC54" s="34" t="s">
        <v>26</v>
      </c>
      <c r="AD54" s="34" t="s">
        <v>26</v>
      </c>
      <c r="AE54" s="34" t="s">
        <v>18</v>
      </c>
      <c r="AF54" s="34" t="s">
        <v>18</v>
      </c>
      <c r="AG54" s="34" t="s">
        <v>18</v>
      </c>
      <c r="AH54" s="34" t="s">
        <v>21</v>
      </c>
      <c r="AI54" s="34" t="s">
        <v>22</v>
      </c>
      <c r="AJ54" s="34"/>
      <c r="AL54" s="11">
        <f t="shared" si="10"/>
        <v>0</v>
      </c>
      <c r="AM54" s="11">
        <f t="shared" si="11"/>
        <v>5</v>
      </c>
      <c r="AN54" s="11">
        <f t="shared" si="12"/>
        <v>6</v>
      </c>
      <c r="AO54" s="11">
        <f t="shared" si="13"/>
        <v>7</v>
      </c>
      <c r="AP54" s="11">
        <f t="shared" si="14"/>
        <v>12</v>
      </c>
    </row>
    <row r="55" spans="2:42" ht="18.75" x14ac:dyDescent="0.25">
      <c r="B55" s="10" t="s">
        <v>49</v>
      </c>
      <c r="C55" s="80" t="s">
        <v>76</v>
      </c>
      <c r="D55" s="81"/>
      <c r="F55" s="34" t="s">
        <v>18</v>
      </c>
      <c r="G55" s="34" t="s">
        <v>18</v>
      </c>
      <c r="H55" s="34" t="s">
        <v>18</v>
      </c>
      <c r="I55" s="34" t="s">
        <v>21</v>
      </c>
      <c r="J55" s="34" t="s">
        <v>22</v>
      </c>
      <c r="K55" s="34" t="s">
        <v>26</v>
      </c>
      <c r="L55" s="34" t="s">
        <v>26</v>
      </c>
      <c r="M55" s="34" t="s">
        <v>26</v>
      </c>
      <c r="N55" s="34" t="s">
        <v>18</v>
      </c>
      <c r="O55" s="34" t="s">
        <v>18</v>
      </c>
      <c r="P55" s="34" t="s">
        <v>18</v>
      </c>
      <c r="Q55" s="34" t="s">
        <v>21</v>
      </c>
      <c r="R55" s="34" t="s">
        <v>22</v>
      </c>
      <c r="S55" s="34" t="s">
        <v>22</v>
      </c>
      <c r="T55" s="34" t="s">
        <v>26</v>
      </c>
      <c r="U55" s="34" t="s">
        <v>26</v>
      </c>
      <c r="V55" s="34" t="s">
        <v>18</v>
      </c>
      <c r="W55" s="34" t="s">
        <v>18</v>
      </c>
      <c r="X55" s="34" t="s">
        <v>18</v>
      </c>
      <c r="Y55" s="34" t="s">
        <v>21</v>
      </c>
      <c r="Z55" s="34" t="s">
        <v>22</v>
      </c>
      <c r="AA55" s="34" t="s">
        <v>26</v>
      </c>
      <c r="AB55" s="34" t="s">
        <v>26</v>
      </c>
      <c r="AC55" s="34" t="s">
        <v>26</v>
      </c>
      <c r="AD55" s="34" t="s">
        <v>18</v>
      </c>
      <c r="AE55" s="34" t="s">
        <v>18</v>
      </c>
      <c r="AF55" s="34" t="s">
        <v>18</v>
      </c>
      <c r="AG55" s="34" t="s">
        <v>21</v>
      </c>
      <c r="AH55" s="34" t="s">
        <v>22</v>
      </c>
      <c r="AI55" s="34" t="s">
        <v>26</v>
      </c>
      <c r="AJ55" s="34"/>
      <c r="AL55" s="11">
        <f t="shared" si="10"/>
        <v>0</v>
      </c>
      <c r="AM55" s="11">
        <f t="shared" si="11"/>
        <v>4</v>
      </c>
      <c r="AN55" s="11">
        <f t="shared" si="12"/>
        <v>5</v>
      </c>
      <c r="AO55" s="11">
        <f t="shared" si="13"/>
        <v>9</v>
      </c>
      <c r="AP55" s="11">
        <f t="shared" si="14"/>
        <v>12</v>
      </c>
    </row>
    <row r="56" spans="2:42" ht="18.75" x14ac:dyDescent="0.25">
      <c r="B56" s="10" t="s">
        <v>49</v>
      </c>
      <c r="C56" s="80" t="s">
        <v>77</v>
      </c>
      <c r="D56" s="81"/>
      <c r="F56" s="34" t="s">
        <v>18</v>
      </c>
      <c r="G56" s="34" t="s">
        <v>18</v>
      </c>
      <c r="H56" s="34" t="s">
        <v>21</v>
      </c>
      <c r="I56" s="34" t="s">
        <v>21</v>
      </c>
      <c r="J56" s="34" t="s">
        <v>22</v>
      </c>
      <c r="K56" s="34" t="s">
        <v>26</v>
      </c>
      <c r="L56" s="34" t="s">
        <v>26</v>
      </c>
      <c r="M56" s="34" t="s">
        <v>18</v>
      </c>
      <c r="N56" s="34" t="s">
        <v>18</v>
      </c>
      <c r="O56" s="34" t="s">
        <v>18</v>
      </c>
      <c r="P56" s="34" t="s">
        <v>21</v>
      </c>
      <c r="Q56" s="34" t="s">
        <v>22</v>
      </c>
      <c r="R56" s="34" t="s">
        <v>22</v>
      </c>
      <c r="S56" s="34" t="s">
        <v>26</v>
      </c>
      <c r="T56" s="34" t="s">
        <v>26</v>
      </c>
      <c r="U56" s="34" t="s">
        <v>18</v>
      </c>
      <c r="V56" s="34" t="s">
        <v>18</v>
      </c>
      <c r="W56" s="34" t="s">
        <v>18</v>
      </c>
      <c r="X56" s="34" t="s">
        <v>21</v>
      </c>
      <c r="Y56" s="34" t="s">
        <v>22</v>
      </c>
      <c r="Z56" s="34" t="s">
        <v>22</v>
      </c>
      <c r="AA56" s="34" t="s">
        <v>26</v>
      </c>
      <c r="AB56" s="34" t="s">
        <v>26</v>
      </c>
      <c r="AC56" s="34" t="s">
        <v>18</v>
      </c>
      <c r="AD56" s="34" t="s">
        <v>18</v>
      </c>
      <c r="AE56" s="34" t="s">
        <v>18</v>
      </c>
      <c r="AF56" s="34" t="s">
        <v>21</v>
      </c>
      <c r="AG56" s="34" t="s">
        <v>21</v>
      </c>
      <c r="AH56" s="34" t="s">
        <v>22</v>
      </c>
      <c r="AI56" s="34" t="s">
        <v>26</v>
      </c>
      <c r="AJ56" s="34"/>
      <c r="AL56" s="11">
        <f t="shared" si="10"/>
        <v>0</v>
      </c>
      <c r="AM56" s="11">
        <f t="shared" si="11"/>
        <v>6</v>
      </c>
      <c r="AN56" s="11">
        <f t="shared" si="12"/>
        <v>6</v>
      </c>
      <c r="AO56" s="11">
        <f t="shared" si="13"/>
        <v>7</v>
      </c>
      <c r="AP56" s="11">
        <f t="shared" si="14"/>
        <v>11</v>
      </c>
    </row>
    <row r="57" spans="2:42" ht="18.75" x14ac:dyDescent="0.25">
      <c r="B57" s="10" t="s">
        <v>49</v>
      </c>
      <c r="C57" s="80" t="s">
        <v>78</v>
      </c>
      <c r="D57" s="81"/>
      <c r="F57" s="34" t="s">
        <v>18</v>
      </c>
      <c r="G57" s="34" t="s">
        <v>21</v>
      </c>
      <c r="H57" s="34" t="s">
        <v>21</v>
      </c>
      <c r="I57" s="34" t="s">
        <v>22</v>
      </c>
      <c r="J57" s="34" t="s">
        <v>26</v>
      </c>
      <c r="K57" s="34" t="s">
        <v>26</v>
      </c>
      <c r="L57" s="34" t="s">
        <v>18</v>
      </c>
      <c r="M57" s="34" t="s">
        <v>18</v>
      </c>
      <c r="N57" s="34" t="s">
        <v>18</v>
      </c>
      <c r="O57" s="34" t="s">
        <v>21</v>
      </c>
      <c r="P57" s="34" t="s">
        <v>22</v>
      </c>
      <c r="Q57" s="34" t="s">
        <v>22</v>
      </c>
      <c r="R57" s="34" t="s">
        <v>26</v>
      </c>
      <c r="S57" s="34" t="s">
        <v>26</v>
      </c>
      <c r="T57" s="34" t="s">
        <v>18</v>
      </c>
      <c r="U57" s="34" t="s">
        <v>18</v>
      </c>
      <c r="V57" s="34" t="s">
        <v>18</v>
      </c>
      <c r="W57" s="34" t="s">
        <v>21</v>
      </c>
      <c r="X57" s="34" t="s">
        <v>21</v>
      </c>
      <c r="Y57" s="34" t="s">
        <v>22</v>
      </c>
      <c r="Z57" s="34" t="s">
        <v>26</v>
      </c>
      <c r="AA57" s="34" t="s">
        <v>26</v>
      </c>
      <c r="AB57" s="34" t="s">
        <v>18</v>
      </c>
      <c r="AC57" s="34" t="s">
        <v>18</v>
      </c>
      <c r="AD57" s="34" t="s">
        <v>18</v>
      </c>
      <c r="AE57" s="34" t="s">
        <v>21</v>
      </c>
      <c r="AF57" s="34" t="s">
        <v>21</v>
      </c>
      <c r="AG57" s="34" t="s">
        <v>22</v>
      </c>
      <c r="AH57" s="34" t="s">
        <v>26</v>
      </c>
      <c r="AI57" s="34" t="s">
        <v>26</v>
      </c>
      <c r="AJ57" s="34"/>
      <c r="AL57" s="11">
        <f t="shared" si="10"/>
        <v>0</v>
      </c>
      <c r="AM57" s="11">
        <f t="shared" si="11"/>
        <v>7</v>
      </c>
      <c r="AN57" s="11">
        <f t="shared" si="12"/>
        <v>5</v>
      </c>
      <c r="AO57" s="11">
        <f t="shared" si="13"/>
        <v>8</v>
      </c>
      <c r="AP57" s="11">
        <f t="shared" si="14"/>
        <v>10</v>
      </c>
    </row>
    <row r="58" spans="2:42" ht="18.75" x14ac:dyDescent="0.25">
      <c r="B58" s="10" t="s">
        <v>49</v>
      </c>
      <c r="C58" s="80" t="s">
        <v>79</v>
      </c>
      <c r="D58" s="81"/>
      <c r="F58" s="34" t="s">
        <v>21</v>
      </c>
      <c r="G58" s="34" t="s">
        <v>21</v>
      </c>
      <c r="H58" s="34" t="s">
        <v>22</v>
      </c>
      <c r="I58" s="34" t="s">
        <v>26</v>
      </c>
      <c r="J58" s="34" t="s">
        <v>26</v>
      </c>
      <c r="K58" s="34" t="s">
        <v>18</v>
      </c>
      <c r="L58" s="34" t="s">
        <v>18</v>
      </c>
      <c r="M58" s="34" t="s">
        <v>18</v>
      </c>
      <c r="N58" s="34" t="s">
        <v>21</v>
      </c>
      <c r="O58" s="34" t="s">
        <v>22</v>
      </c>
      <c r="P58" s="34" t="s">
        <v>22</v>
      </c>
      <c r="Q58" s="34" t="s">
        <v>26</v>
      </c>
      <c r="R58" s="34" t="s">
        <v>26</v>
      </c>
      <c r="S58" s="34" t="s">
        <v>18</v>
      </c>
      <c r="T58" s="34" t="s">
        <v>18</v>
      </c>
      <c r="U58" s="34" t="s">
        <v>18</v>
      </c>
      <c r="V58" s="34" t="s">
        <v>21</v>
      </c>
      <c r="W58" s="34" t="s">
        <v>22</v>
      </c>
      <c r="X58" s="34" t="s">
        <v>22</v>
      </c>
      <c r="Y58" s="34" t="s">
        <v>26</v>
      </c>
      <c r="Z58" s="34" t="s">
        <v>26</v>
      </c>
      <c r="AA58" s="34" t="s">
        <v>18</v>
      </c>
      <c r="AB58" s="34" t="s">
        <v>18</v>
      </c>
      <c r="AC58" s="34" t="s">
        <v>18</v>
      </c>
      <c r="AD58" s="34" t="s">
        <v>21</v>
      </c>
      <c r="AE58" s="34" t="s">
        <v>21</v>
      </c>
      <c r="AF58" s="34" t="s">
        <v>22</v>
      </c>
      <c r="AG58" s="34" t="s">
        <v>26</v>
      </c>
      <c r="AH58" s="34" t="s">
        <v>26</v>
      </c>
      <c r="AI58" s="34" t="s">
        <v>18</v>
      </c>
      <c r="AJ58" s="34"/>
      <c r="AL58" s="11">
        <f t="shared" si="10"/>
        <v>0</v>
      </c>
      <c r="AM58" s="11">
        <f t="shared" si="11"/>
        <v>6</v>
      </c>
      <c r="AN58" s="11">
        <f t="shared" si="12"/>
        <v>6</v>
      </c>
      <c r="AO58" s="11">
        <f t="shared" si="13"/>
        <v>8</v>
      </c>
      <c r="AP58" s="11">
        <f t="shared" si="14"/>
        <v>10</v>
      </c>
    </row>
    <row r="59" spans="2:42" ht="18.75" x14ac:dyDescent="0.25">
      <c r="B59" s="10" t="s">
        <v>49</v>
      </c>
      <c r="C59" s="82" t="s">
        <v>80</v>
      </c>
      <c r="D59" s="82"/>
      <c r="F59" s="34" t="s">
        <v>21</v>
      </c>
      <c r="G59" s="34" t="s">
        <v>22</v>
      </c>
      <c r="H59" s="34" t="s">
        <v>26</v>
      </c>
      <c r="I59" s="34" t="s">
        <v>26</v>
      </c>
      <c r="J59" s="34" t="s">
        <v>18</v>
      </c>
      <c r="K59" s="34" t="s">
        <v>18</v>
      </c>
      <c r="L59" s="34" t="s">
        <v>18</v>
      </c>
      <c r="M59" s="34" t="s">
        <v>21</v>
      </c>
      <c r="N59" s="34" t="s">
        <v>22</v>
      </c>
      <c r="O59" s="34" t="s">
        <v>22</v>
      </c>
      <c r="P59" s="34" t="s">
        <v>26</v>
      </c>
      <c r="Q59" s="34" t="s">
        <v>26</v>
      </c>
      <c r="R59" s="34" t="s">
        <v>18</v>
      </c>
      <c r="S59" s="34" t="s">
        <v>18</v>
      </c>
      <c r="T59" s="34" t="s">
        <v>18</v>
      </c>
      <c r="U59" s="34" t="s">
        <v>21</v>
      </c>
      <c r="V59" s="34" t="s">
        <v>22</v>
      </c>
      <c r="W59" s="34" t="s">
        <v>22</v>
      </c>
      <c r="X59" s="34" t="s">
        <v>26</v>
      </c>
      <c r="Y59" s="34" t="s">
        <v>26</v>
      </c>
      <c r="Z59" s="34" t="s">
        <v>18</v>
      </c>
      <c r="AA59" s="34" t="s">
        <v>18</v>
      </c>
      <c r="AB59" s="34" t="s">
        <v>18</v>
      </c>
      <c r="AC59" s="34" t="s">
        <v>21</v>
      </c>
      <c r="AD59" s="34" t="s">
        <v>21</v>
      </c>
      <c r="AE59" s="34" t="s">
        <v>22</v>
      </c>
      <c r="AF59" s="34" t="s">
        <v>26</v>
      </c>
      <c r="AG59" s="34" t="s">
        <v>26</v>
      </c>
      <c r="AH59" s="34" t="s">
        <v>18</v>
      </c>
      <c r="AI59" s="34" t="s">
        <v>18</v>
      </c>
      <c r="AJ59" s="34"/>
      <c r="AL59" s="11">
        <f t="shared" si="10"/>
        <v>0</v>
      </c>
      <c r="AM59" s="11">
        <f t="shared" si="11"/>
        <v>5</v>
      </c>
      <c r="AN59" s="11">
        <f t="shared" si="12"/>
        <v>6</v>
      </c>
      <c r="AO59" s="11">
        <f t="shared" si="13"/>
        <v>8</v>
      </c>
      <c r="AP59" s="11">
        <f t="shared" si="14"/>
        <v>11</v>
      </c>
    </row>
    <row r="60" spans="2:42" ht="18.75" x14ac:dyDescent="0.25">
      <c r="B60" s="10" t="s">
        <v>49</v>
      </c>
      <c r="C60" s="82" t="s">
        <v>81</v>
      </c>
      <c r="D60" s="82"/>
      <c r="F60" s="34" t="s">
        <v>22</v>
      </c>
      <c r="G60" s="34" t="s">
        <v>26</v>
      </c>
      <c r="H60" s="34" t="s">
        <v>26</v>
      </c>
      <c r="I60" s="34" t="s">
        <v>18</v>
      </c>
      <c r="J60" s="34" t="s">
        <v>18</v>
      </c>
      <c r="K60" s="34" t="s">
        <v>18</v>
      </c>
      <c r="L60" s="34" t="s">
        <v>21</v>
      </c>
      <c r="M60" s="34" t="s">
        <v>21</v>
      </c>
      <c r="N60" s="34" t="s">
        <v>22</v>
      </c>
      <c r="O60" s="34" t="s">
        <v>26</v>
      </c>
      <c r="P60" s="34" t="s">
        <v>26</v>
      </c>
      <c r="Q60" s="34" t="s">
        <v>18</v>
      </c>
      <c r="R60" s="34" t="s">
        <v>18</v>
      </c>
      <c r="S60" s="34" t="s">
        <v>18</v>
      </c>
      <c r="T60" s="34" t="s">
        <v>21</v>
      </c>
      <c r="U60" s="34" t="s">
        <v>21</v>
      </c>
      <c r="V60" s="34" t="s">
        <v>22</v>
      </c>
      <c r="W60" s="34" t="s">
        <v>26</v>
      </c>
      <c r="X60" s="34" t="s">
        <v>26</v>
      </c>
      <c r="Y60" s="34" t="s">
        <v>18</v>
      </c>
      <c r="Z60" s="34" t="s">
        <v>18</v>
      </c>
      <c r="AA60" s="34" t="s">
        <v>18</v>
      </c>
      <c r="AB60" s="34" t="s">
        <v>21</v>
      </c>
      <c r="AC60" s="34" t="s">
        <v>21</v>
      </c>
      <c r="AD60" s="34" t="s">
        <v>22</v>
      </c>
      <c r="AE60" s="34" t="s">
        <v>26</v>
      </c>
      <c r="AF60" s="34" t="s">
        <v>26</v>
      </c>
      <c r="AG60" s="34" t="s">
        <v>18</v>
      </c>
      <c r="AH60" s="34" t="s">
        <v>18</v>
      </c>
      <c r="AI60" s="34" t="s">
        <v>18</v>
      </c>
      <c r="AJ60" s="34"/>
      <c r="AL60" s="11">
        <f t="shared" si="10"/>
        <v>0</v>
      </c>
      <c r="AM60" s="11">
        <f t="shared" si="11"/>
        <v>6</v>
      </c>
      <c r="AN60" s="11">
        <f t="shared" si="12"/>
        <v>4</v>
      </c>
      <c r="AO60" s="11">
        <f t="shared" si="13"/>
        <v>8</v>
      </c>
      <c r="AP60" s="11">
        <f t="shared" si="14"/>
        <v>12</v>
      </c>
    </row>
    <row r="61" spans="2:42" ht="18.75" x14ac:dyDescent="0.25">
      <c r="B61" s="10" t="s">
        <v>49</v>
      </c>
      <c r="C61" s="80" t="s">
        <v>82</v>
      </c>
      <c r="D61" s="81"/>
      <c r="F61" s="34" t="s">
        <v>26</v>
      </c>
      <c r="G61" s="34" t="s">
        <v>26</v>
      </c>
      <c r="H61" s="34" t="s">
        <v>18</v>
      </c>
      <c r="I61" s="34" t="s">
        <v>18</v>
      </c>
      <c r="J61" s="34" t="s">
        <v>18</v>
      </c>
      <c r="K61" s="34" t="s">
        <v>21</v>
      </c>
      <c r="L61" s="34" t="s">
        <v>22</v>
      </c>
      <c r="M61" s="34" t="s">
        <v>22</v>
      </c>
      <c r="N61" s="34" t="s">
        <v>26</v>
      </c>
      <c r="O61" s="34" t="s">
        <v>26</v>
      </c>
      <c r="P61" s="34" t="s">
        <v>18</v>
      </c>
      <c r="Q61" s="34" t="s">
        <v>18</v>
      </c>
      <c r="R61" s="34" t="s">
        <v>18</v>
      </c>
      <c r="S61" s="34" t="s">
        <v>21</v>
      </c>
      <c r="T61" s="34" t="s">
        <v>22</v>
      </c>
      <c r="U61" s="34" t="s">
        <v>22</v>
      </c>
      <c r="V61" s="34" t="s">
        <v>26</v>
      </c>
      <c r="W61" s="34" t="s">
        <v>26</v>
      </c>
      <c r="X61" s="34" t="s">
        <v>18</v>
      </c>
      <c r="Y61" s="34" t="s">
        <v>18</v>
      </c>
      <c r="Z61" s="34" t="s">
        <v>18</v>
      </c>
      <c r="AA61" s="34" t="s">
        <v>21</v>
      </c>
      <c r="AB61" s="34" t="s">
        <v>21</v>
      </c>
      <c r="AC61" s="34" t="s">
        <v>22</v>
      </c>
      <c r="AD61" s="34" t="s">
        <v>26</v>
      </c>
      <c r="AE61" s="34" t="s">
        <v>26</v>
      </c>
      <c r="AF61" s="34" t="s">
        <v>18</v>
      </c>
      <c r="AG61" s="34" t="s">
        <v>18</v>
      </c>
      <c r="AH61" s="34" t="s">
        <v>18</v>
      </c>
      <c r="AI61" s="34" t="s">
        <v>21</v>
      </c>
      <c r="AJ61" s="34"/>
      <c r="AL61" s="11">
        <f t="shared" si="10"/>
        <v>0</v>
      </c>
      <c r="AM61" s="11">
        <f t="shared" si="11"/>
        <v>5</v>
      </c>
      <c r="AN61" s="11">
        <f t="shared" si="12"/>
        <v>5</v>
      </c>
      <c r="AO61" s="11">
        <f t="shared" si="13"/>
        <v>8</v>
      </c>
      <c r="AP61" s="11">
        <f t="shared" si="14"/>
        <v>12</v>
      </c>
    </row>
    <row r="62" spans="2:42" ht="18.75" x14ac:dyDescent="0.25">
      <c r="B62" s="10" t="s">
        <v>49</v>
      </c>
      <c r="C62" s="82" t="s">
        <v>83</v>
      </c>
      <c r="D62" s="82"/>
      <c r="F62" s="34" t="s">
        <v>26</v>
      </c>
      <c r="G62" s="34" t="s">
        <v>18</v>
      </c>
      <c r="H62" s="34" t="s">
        <v>18</v>
      </c>
      <c r="I62" s="34" t="s">
        <v>18</v>
      </c>
      <c r="J62" s="34" t="s">
        <v>21</v>
      </c>
      <c r="K62" s="34" t="s">
        <v>21</v>
      </c>
      <c r="L62" s="34" t="s">
        <v>22</v>
      </c>
      <c r="M62" s="34" t="s">
        <v>26</v>
      </c>
      <c r="N62" s="34" t="s">
        <v>26</v>
      </c>
      <c r="O62" s="34" t="s">
        <v>18</v>
      </c>
      <c r="P62" s="34" t="s">
        <v>18</v>
      </c>
      <c r="Q62" s="34" t="s">
        <v>18</v>
      </c>
      <c r="R62" s="34" t="s">
        <v>21</v>
      </c>
      <c r="S62" s="34" t="s">
        <v>21</v>
      </c>
      <c r="T62" s="34" t="s">
        <v>22</v>
      </c>
      <c r="U62" s="34" t="s">
        <v>26</v>
      </c>
      <c r="V62" s="34" t="s">
        <v>26</v>
      </c>
      <c r="W62" s="34" t="s">
        <v>18</v>
      </c>
      <c r="X62" s="34" t="s">
        <v>18</v>
      </c>
      <c r="Y62" s="34" t="s">
        <v>18</v>
      </c>
      <c r="Z62" s="34" t="s">
        <v>21</v>
      </c>
      <c r="AA62" s="34" t="s">
        <v>22</v>
      </c>
      <c r="AB62" s="36" t="s">
        <v>22</v>
      </c>
      <c r="AC62" s="34" t="s">
        <v>26</v>
      </c>
      <c r="AD62" s="34" t="s">
        <v>26</v>
      </c>
      <c r="AE62" s="34" t="s">
        <v>18</v>
      </c>
      <c r="AF62" s="34" t="s">
        <v>18</v>
      </c>
      <c r="AG62" s="34" t="s">
        <v>18</v>
      </c>
      <c r="AH62" s="34" t="s">
        <v>21</v>
      </c>
      <c r="AI62" s="34" t="s">
        <v>21</v>
      </c>
      <c r="AJ62" s="34"/>
      <c r="AL62" s="11">
        <f t="shared" si="10"/>
        <v>0</v>
      </c>
      <c r="AM62" s="11">
        <f t="shared" si="11"/>
        <v>7</v>
      </c>
      <c r="AN62" s="11">
        <f t="shared" si="12"/>
        <v>4</v>
      </c>
      <c r="AO62" s="11">
        <f t="shared" si="13"/>
        <v>7</v>
      </c>
      <c r="AP62" s="11">
        <f t="shared" si="14"/>
        <v>12</v>
      </c>
    </row>
    <row r="63" spans="2:42" ht="18.75" x14ac:dyDescent="0.25">
      <c r="B63" s="10" t="s">
        <v>49</v>
      </c>
      <c r="C63" s="80" t="s">
        <v>84</v>
      </c>
      <c r="D63" s="81"/>
      <c r="F63" s="34" t="s">
        <v>22</v>
      </c>
      <c r="G63" s="34" t="s">
        <v>18</v>
      </c>
      <c r="H63" s="34" t="s">
        <v>18</v>
      </c>
      <c r="I63" s="34" t="s">
        <v>21</v>
      </c>
      <c r="J63" s="34" t="s">
        <v>21</v>
      </c>
      <c r="K63" s="34" t="s">
        <v>21</v>
      </c>
      <c r="L63" s="34" t="s">
        <v>22</v>
      </c>
      <c r="M63" s="34" t="s">
        <v>22</v>
      </c>
      <c r="N63" s="34" t="s">
        <v>18</v>
      </c>
      <c r="O63" s="34" t="s">
        <v>18</v>
      </c>
      <c r="P63" s="34" t="s">
        <v>21</v>
      </c>
      <c r="Q63" s="34" t="s">
        <v>21</v>
      </c>
      <c r="R63" s="34" t="s">
        <v>21</v>
      </c>
      <c r="S63" s="34" t="s">
        <v>22</v>
      </c>
      <c r="T63" s="34" t="s">
        <v>22</v>
      </c>
      <c r="U63" s="34" t="s">
        <v>18</v>
      </c>
      <c r="V63" s="34" t="s">
        <v>18</v>
      </c>
      <c r="W63" s="34" t="s">
        <v>22</v>
      </c>
      <c r="X63" s="34" t="s">
        <v>18</v>
      </c>
      <c r="Y63" s="34" t="s">
        <v>18</v>
      </c>
      <c r="Z63" s="34" t="s">
        <v>21</v>
      </c>
      <c r="AA63" s="34" t="s">
        <v>21</v>
      </c>
      <c r="AB63" s="34" t="s">
        <v>21</v>
      </c>
      <c r="AC63" s="34" t="s">
        <v>22</v>
      </c>
      <c r="AD63" s="34" t="s">
        <v>22</v>
      </c>
      <c r="AE63" s="34" t="s">
        <v>18</v>
      </c>
      <c r="AF63" s="34" t="s">
        <v>18</v>
      </c>
      <c r="AG63" s="34" t="s">
        <v>21</v>
      </c>
      <c r="AH63" s="34" t="s">
        <v>21</v>
      </c>
      <c r="AI63" s="34" t="s">
        <v>21</v>
      </c>
      <c r="AJ63" s="34"/>
      <c r="AL63" s="11">
        <f t="shared" si="10"/>
        <v>0</v>
      </c>
      <c r="AM63" s="11">
        <f t="shared" si="11"/>
        <v>12</v>
      </c>
      <c r="AN63" s="11">
        <f t="shared" si="12"/>
        <v>8</v>
      </c>
      <c r="AO63" s="11">
        <f t="shared" si="13"/>
        <v>0</v>
      </c>
      <c r="AP63" s="11">
        <f t="shared" si="14"/>
        <v>10</v>
      </c>
    </row>
    <row r="64" spans="2:42" ht="18.75" x14ac:dyDescent="0.25">
      <c r="B64" s="10" t="s">
        <v>49</v>
      </c>
      <c r="C64" s="80" t="s">
        <v>85</v>
      </c>
      <c r="D64" s="81"/>
      <c r="F64" s="34" t="s">
        <v>21</v>
      </c>
      <c r="G64" s="34" t="s">
        <v>18</v>
      </c>
      <c r="H64" s="34" t="s">
        <v>18</v>
      </c>
      <c r="I64" s="34" t="s">
        <v>22</v>
      </c>
      <c r="J64" s="34" t="s">
        <v>22</v>
      </c>
      <c r="K64" s="34" t="s">
        <v>22</v>
      </c>
      <c r="L64" s="34" t="s">
        <v>21</v>
      </c>
      <c r="M64" s="34" t="s">
        <v>21</v>
      </c>
      <c r="N64" s="34" t="s">
        <v>18</v>
      </c>
      <c r="O64" s="34" t="s">
        <v>18</v>
      </c>
      <c r="P64" s="34" t="s">
        <v>22</v>
      </c>
      <c r="Q64" s="34" t="s">
        <v>22</v>
      </c>
      <c r="R64" s="34" t="s">
        <v>22</v>
      </c>
      <c r="S64" s="34" t="s">
        <v>21</v>
      </c>
      <c r="T64" s="34" t="s">
        <v>21</v>
      </c>
      <c r="U64" s="34" t="s">
        <v>18</v>
      </c>
      <c r="V64" s="34" t="s">
        <v>18</v>
      </c>
      <c r="W64" s="34" t="s">
        <v>21</v>
      </c>
      <c r="X64" s="34" t="s">
        <v>18</v>
      </c>
      <c r="Y64" s="34" t="s">
        <v>18</v>
      </c>
      <c r="Z64" s="34" t="s">
        <v>22</v>
      </c>
      <c r="AA64" s="34" t="s">
        <v>22</v>
      </c>
      <c r="AB64" s="34" t="s">
        <v>22</v>
      </c>
      <c r="AC64" s="34" t="s">
        <v>21</v>
      </c>
      <c r="AD64" s="34" t="s">
        <v>21</v>
      </c>
      <c r="AE64" s="34" t="s">
        <v>18</v>
      </c>
      <c r="AF64" s="34" t="s">
        <v>18</v>
      </c>
      <c r="AG64" s="34" t="s">
        <v>22</v>
      </c>
      <c r="AH64" s="34" t="s">
        <v>22</v>
      </c>
      <c r="AI64" s="34" t="s">
        <v>22</v>
      </c>
      <c r="AJ64" s="34"/>
      <c r="AL64" s="11">
        <f t="shared" si="10"/>
        <v>0</v>
      </c>
      <c r="AM64" s="11">
        <f t="shared" si="11"/>
        <v>8</v>
      </c>
      <c r="AN64" s="11">
        <f t="shared" si="12"/>
        <v>12</v>
      </c>
      <c r="AO64" s="11">
        <f t="shared" si="13"/>
        <v>0</v>
      </c>
      <c r="AP64" s="11">
        <f t="shared" si="14"/>
        <v>10</v>
      </c>
    </row>
    <row r="65" spans="2:42" ht="19.5" thickBot="1" x14ac:dyDescent="0.3">
      <c r="B65" s="10" t="s">
        <v>49</v>
      </c>
      <c r="C65" s="82" t="s">
        <v>86</v>
      </c>
      <c r="D65" s="82"/>
      <c r="F65" s="37" t="s">
        <v>18</v>
      </c>
      <c r="G65" s="37" t="s">
        <v>18</v>
      </c>
      <c r="H65" s="37" t="s">
        <v>32</v>
      </c>
      <c r="I65" s="37" t="s">
        <v>32</v>
      </c>
      <c r="J65" s="37" t="s">
        <v>32</v>
      </c>
      <c r="K65" s="37" t="s">
        <v>21</v>
      </c>
      <c r="L65" s="37" t="s">
        <v>21</v>
      </c>
      <c r="M65" s="37" t="s">
        <v>18</v>
      </c>
      <c r="N65" s="37" t="s">
        <v>18</v>
      </c>
      <c r="O65" s="37" t="s">
        <v>32</v>
      </c>
      <c r="P65" s="37" t="s">
        <v>32</v>
      </c>
      <c r="Q65" s="37" t="s">
        <v>32</v>
      </c>
      <c r="R65" s="37" t="s">
        <v>21</v>
      </c>
      <c r="S65" s="37" t="s">
        <v>21</v>
      </c>
      <c r="T65" s="37" t="s">
        <v>18</v>
      </c>
      <c r="U65" s="37" t="s">
        <v>18</v>
      </c>
      <c r="V65" s="37" t="s">
        <v>32</v>
      </c>
      <c r="W65" s="37" t="s">
        <v>18</v>
      </c>
      <c r="X65" s="37" t="s">
        <v>18</v>
      </c>
      <c r="Y65" s="37" t="s">
        <v>32</v>
      </c>
      <c r="Z65" s="37" t="s">
        <v>32</v>
      </c>
      <c r="AA65" s="37" t="s">
        <v>32</v>
      </c>
      <c r="AB65" s="37" t="s">
        <v>21</v>
      </c>
      <c r="AC65" s="37" t="s">
        <v>21</v>
      </c>
      <c r="AD65" s="37" t="s">
        <v>18</v>
      </c>
      <c r="AE65" s="37" t="s">
        <v>18</v>
      </c>
      <c r="AF65" s="37" t="s">
        <v>32</v>
      </c>
      <c r="AG65" s="37" t="s">
        <v>32</v>
      </c>
      <c r="AH65" s="37" t="s">
        <v>32</v>
      </c>
      <c r="AI65" s="37" t="s">
        <v>21</v>
      </c>
      <c r="AJ65" s="37"/>
      <c r="AL65" s="11">
        <f t="shared" si="10"/>
        <v>0</v>
      </c>
      <c r="AM65" s="11">
        <f t="shared" si="11"/>
        <v>20</v>
      </c>
      <c r="AN65" s="11">
        <f t="shared" si="12"/>
        <v>0</v>
      </c>
      <c r="AO65" s="11">
        <f t="shared" si="13"/>
        <v>0</v>
      </c>
      <c r="AP65" s="11">
        <f t="shared" si="14"/>
        <v>10</v>
      </c>
    </row>
    <row r="66" spans="2:42" ht="18.75" x14ac:dyDescent="0.25">
      <c r="B66" s="10" t="s">
        <v>87</v>
      </c>
      <c r="C66" s="83" t="s">
        <v>88</v>
      </c>
      <c r="D66" s="84"/>
      <c r="F66" s="33" t="s">
        <v>18</v>
      </c>
      <c r="G66" s="41" t="s">
        <v>21</v>
      </c>
      <c r="H66" s="33" t="s">
        <v>22</v>
      </c>
      <c r="I66" s="33" t="s">
        <v>22</v>
      </c>
      <c r="J66" s="33" t="s">
        <v>26</v>
      </c>
      <c r="K66" s="33" t="s">
        <v>26</v>
      </c>
      <c r="L66" s="33" t="s">
        <v>18</v>
      </c>
      <c r="M66" s="33" t="s">
        <v>18</v>
      </c>
      <c r="N66" s="33" t="s">
        <v>18</v>
      </c>
      <c r="O66" s="41" t="s">
        <v>21</v>
      </c>
      <c r="P66" s="41" t="s">
        <v>21</v>
      </c>
      <c r="Q66" s="33" t="s">
        <v>22</v>
      </c>
      <c r="R66" s="33" t="s">
        <v>22</v>
      </c>
      <c r="S66" s="33" t="s">
        <v>26</v>
      </c>
      <c r="T66" s="33" t="s">
        <v>18</v>
      </c>
      <c r="U66" s="33" t="s">
        <v>18</v>
      </c>
      <c r="V66" s="33" t="s">
        <v>18</v>
      </c>
      <c r="W66" s="41" t="s">
        <v>21</v>
      </c>
      <c r="X66" s="33" t="s">
        <v>22</v>
      </c>
      <c r="Y66" s="33" t="s">
        <v>26</v>
      </c>
      <c r="Z66" s="33" t="s">
        <v>26</v>
      </c>
      <c r="AA66" s="33" t="s">
        <v>26</v>
      </c>
      <c r="AB66" s="33" t="s">
        <v>18</v>
      </c>
      <c r="AC66" s="33" t="s">
        <v>18</v>
      </c>
      <c r="AD66" s="33" t="s">
        <v>18</v>
      </c>
      <c r="AE66" s="41" t="s">
        <v>21</v>
      </c>
      <c r="AF66" s="33" t="s">
        <v>22</v>
      </c>
      <c r="AG66" s="33" t="s">
        <v>22</v>
      </c>
      <c r="AH66" s="33" t="s">
        <v>26</v>
      </c>
      <c r="AI66" s="33" t="s">
        <v>26</v>
      </c>
      <c r="AJ66" s="33"/>
      <c r="AL66" s="11">
        <f t="shared" si="10"/>
        <v>0</v>
      </c>
      <c r="AM66" s="11">
        <f t="shared" si="11"/>
        <v>5</v>
      </c>
      <c r="AN66" s="11">
        <f t="shared" si="12"/>
        <v>7</v>
      </c>
      <c r="AO66" s="11">
        <f t="shared" si="13"/>
        <v>8</v>
      </c>
      <c r="AP66" s="11">
        <f t="shared" si="14"/>
        <v>10</v>
      </c>
    </row>
    <row r="67" spans="2:42" ht="18.75" x14ac:dyDescent="0.25">
      <c r="B67" s="10" t="s">
        <v>87</v>
      </c>
      <c r="C67" s="80" t="s">
        <v>89</v>
      </c>
      <c r="D67" s="81"/>
      <c r="F67" s="34" t="s">
        <v>21</v>
      </c>
      <c r="G67" s="34" t="s">
        <v>21</v>
      </c>
      <c r="H67" s="34" t="s">
        <v>22</v>
      </c>
      <c r="I67" s="34" t="s">
        <v>22</v>
      </c>
      <c r="J67" s="34" t="s">
        <v>26</v>
      </c>
      <c r="K67" s="33" t="s">
        <v>18</v>
      </c>
      <c r="L67" s="33" t="s">
        <v>18</v>
      </c>
      <c r="M67" s="33" t="s">
        <v>18</v>
      </c>
      <c r="N67" s="41" t="s">
        <v>21</v>
      </c>
      <c r="O67" s="34" t="s">
        <v>22</v>
      </c>
      <c r="P67" s="34" t="s">
        <v>22</v>
      </c>
      <c r="Q67" s="33" t="s">
        <v>26</v>
      </c>
      <c r="R67" s="33" t="s">
        <v>26</v>
      </c>
      <c r="S67" s="33" t="s">
        <v>18</v>
      </c>
      <c r="T67" s="33" t="s">
        <v>18</v>
      </c>
      <c r="U67" s="33" t="s">
        <v>18</v>
      </c>
      <c r="V67" s="41" t="s">
        <v>21</v>
      </c>
      <c r="W67" s="34" t="s">
        <v>22</v>
      </c>
      <c r="X67" s="34" t="s">
        <v>22</v>
      </c>
      <c r="Y67" s="33" t="s">
        <v>26</v>
      </c>
      <c r="Z67" s="33" t="s">
        <v>26</v>
      </c>
      <c r="AA67" s="33" t="s">
        <v>18</v>
      </c>
      <c r="AB67" s="33" t="s">
        <v>18</v>
      </c>
      <c r="AC67" s="33" t="s">
        <v>18</v>
      </c>
      <c r="AD67" s="34" t="s">
        <v>21</v>
      </c>
      <c r="AE67" s="34" t="s">
        <v>21</v>
      </c>
      <c r="AF67" s="34" t="s">
        <v>22</v>
      </c>
      <c r="AG67" s="34" t="s">
        <v>22</v>
      </c>
      <c r="AH67" s="34" t="s">
        <v>26</v>
      </c>
      <c r="AI67" s="33" t="s">
        <v>18</v>
      </c>
      <c r="AJ67" s="33"/>
      <c r="AL67" s="11">
        <f t="shared" si="10"/>
        <v>0</v>
      </c>
      <c r="AM67" s="11">
        <f t="shared" si="11"/>
        <v>6</v>
      </c>
      <c r="AN67" s="11">
        <f t="shared" si="12"/>
        <v>8</v>
      </c>
      <c r="AO67" s="11">
        <f t="shared" si="13"/>
        <v>6</v>
      </c>
      <c r="AP67" s="11">
        <f t="shared" si="14"/>
        <v>10</v>
      </c>
    </row>
    <row r="68" spans="2:42" ht="18.75" x14ac:dyDescent="0.25">
      <c r="B68" s="10" t="s">
        <v>87</v>
      </c>
      <c r="C68" s="80" t="s">
        <v>136</v>
      </c>
      <c r="D68" s="81"/>
      <c r="F68" s="34" t="s">
        <v>21</v>
      </c>
      <c r="G68" s="34" t="s">
        <v>22</v>
      </c>
      <c r="H68" s="34" t="s">
        <v>22</v>
      </c>
      <c r="I68" s="34" t="s">
        <v>26</v>
      </c>
      <c r="J68" s="33" t="s">
        <v>18</v>
      </c>
      <c r="K68" s="33" t="s">
        <v>18</v>
      </c>
      <c r="L68" s="33" t="s">
        <v>18</v>
      </c>
      <c r="M68" s="41" t="s">
        <v>21</v>
      </c>
      <c r="N68" s="41" t="s">
        <v>21</v>
      </c>
      <c r="O68" s="34" t="s">
        <v>22</v>
      </c>
      <c r="P68" s="33" t="s">
        <v>26</v>
      </c>
      <c r="Q68" s="33" t="s">
        <v>26</v>
      </c>
      <c r="R68" s="33" t="s">
        <v>18</v>
      </c>
      <c r="S68" s="33" t="s">
        <v>18</v>
      </c>
      <c r="T68" s="33" t="s">
        <v>18</v>
      </c>
      <c r="U68" s="41" t="s">
        <v>21</v>
      </c>
      <c r="V68" s="34" t="s">
        <v>22</v>
      </c>
      <c r="W68" s="34" t="s">
        <v>22</v>
      </c>
      <c r="X68" s="34" t="s">
        <v>26</v>
      </c>
      <c r="Y68" s="33" t="s">
        <v>26</v>
      </c>
      <c r="Z68" s="33" t="s">
        <v>18</v>
      </c>
      <c r="AA68" s="33" t="s">
        <v>18</v>
      </c>
      <c r="AB68" s="33" t="s">
        <v>18</v>
      </c>
      <c r="AC68" s="34" t="s">
        <v>21</v>
      </c>
      <c r="AD68" s="34" t="s">
        <v>21</v>
      </c>
      <c r="AE68" s="34" t="s">
        <v>22</v>
      </c>
      <c r="AF68" s="34" t="s">
        <v>22</v>
      </c>
      <c r="AG68" s="34" t="s">
        <v>26</v>
      </c>
      <c r="AH68" s="33" t="s">
        <v>18</v>
      </c>
      <c r="AI68" s="33" t="s">
        <v>18</v>
      </c>
      <c r="AJ68" s="33"/>
      <c r="AL68" s="11">
        <f t="shared" si="10"/>
        <v>0</v>
      </c>
      <c r="AM68" s="11">
        <f t="shared" si="11"/>
        <v>6</v>
      </c>
      <c r="AN68" s="11">
        <f t="shared" si="12"/>
        <v>7</v>
      </c>
      <c r="AO68" s="11">
        <f t="shared" si="13"/>
        <v>6</v>
      </c>
      <c r="AP68" s="11">
        <f t="shared" si="14"/>
        <v>11</v>
      </c>
    </row>
    <row r="69" spans="2:42" ht="18.75" x14ac:dyDescent="0.25">
      <c r="B69" s="10" t="s">
        <v>87</v>
      </c>
      <c r="C69" s="80" t="s">
        <v>90</v>
      </c>
      <c r="D69" s="81"/>
      <c r="F69" s="34" t="s">
        <v>22</v>
      </c>
      <c r="G69" s="33" t="s">
        <v>26</v>
      </c>
      <c r="H69" s="33" t="s">
        <v>26</v>
      </c>
      <c r="I69" s="33" t="s">
        <v>18</v>
      </c>
      <c r="J69" s="33" t="s">
        <v>18</v>
      </c>
      <c r="K69" s="33" t="s">
        <v>18</v>
      </c>
      <c r="L69" s="41" t="s">
        <v>21</v>
      </c>
      <c r="M69" s="41" t="s">
        <v>21</v>
      </c>
      <c r="N69" s="34" t="s">
        <v>22</v>
      </c>
      <c r="O69" s="34" t="s">
        <v>26</v>
      </c>
      <c r="P69" s="33" t="s">
        <v>26</v>
      </c>
      <c r="Q69" s="33" t="s">
        <v>18</v>
      </c>
      <c r="R69" s="33" t="s">
        <v>18</v>
      </c>
      <c r="S69" s="33" t="s">
        <v>18</v>
      </c>
      <c r="T69" s="41" t="s">
        <v>21</v>
      </c>
      <c r="U69" s="34" t="s">
        <v>22</v>
      </c>
      <c r="V69" s="34" t="s">
        <v>22</v>
      </c>
      <c r="W69" s="33" t="s">
        <v>26</v>
      </c>
      <c r="X69" s="33" t="s">
        <v>26</v>
      </c>
      <c r="Y69" s="33" t="s">
        <v>18</v>
      </c>
      <c r="Z69" s="33" t="s">
        <v>18</v>
      </c>
      <c r="AA69" s="33" t="s">
        <v>18</v>
      </c>
      <c r="AB69" s="41" t="s">
        <v>21</v>
      </c>
      <c r="AC69" s="41" t="s">
        <v>21</v>
      </c>
      <c r="AD69" s="34" t="s">
        <v>22</v>
      </c>
      <c r="AE69" s="33" t="s">
        <v>26</v>
      </c>
      <c r="AF69" s="33" t="s">
        <v>26</v>
      </c>
      <c r="AG69" s="33" t="s">
        <v>18</v>
      </c>
      <c r="AH69" s="33" t="s">
        <v>18</v>
      </c>
      <c r="AI69" s="33" t="s">
        <v>18</v>
      </c>
      <c r="AJ69" s="41"/>
      <c r="AL69" s="11">
        <f t="shared" si="10"/>
        <v>0</v>
      </c>
      <c r="AM69" s="11">
        <f t="shared" si="11"/>
        <v>5</v>
      </c>
      <c r="AN69" s="11">
        <f t="shared" si="12"/>
        <v>5</v>
      </c>
      <c r="AO69" s="11">
        <f t="shared" si="13"/>
        <v>8</v>
      </c>
      <c r="AP69" s="11">
        <f t="shared" si="14"/>
        <v>12</v>
      </c>
    </row>
    <row r="70" spans="2:42" ht="18.75" x14ac:dyDescent="0.25">
      <c r="B70" s="10" t="s">
        <v>87</v>
      </c>
      <c r="C70" s="80" t="s">
        <v>91</v>
      </c>
      <c r="D70" s="81"/>
      <c r="F70" s="33" t="s">
        <v>26</v>
      </c>
      <c r="G70" s="33" t="s">
        <v>26</v>
      </c>
      <c r="H70" s="33" t="s">
        <v>18</v>
      </c>
      <c r="I70" s="33" t="s">
        <v>18</v>
      </c>
      <c r="J70" s="33" t="s">
        <v>18</v>
      </c>
      <c r="K70" s="41" t="s">
        <v>21</v>
      </c>
      <c r="L70" s="41" t="s">
        <v>21</v>
      </c>
      <c r="M70" s="34" t="s">
        <v>22</v>
      </c>
      <c r="N70" s="34" t="s">
        <v>22</v>
      </c>
      <c r="O70" s="33" t="s">
        <v>26</v>
      </c>
      <c r="P70" s="33" t="s">
        <v>18</v>
      </c>
      <c r="Q70" s="33" t="s">
        <v>18</v>
      </c>
      <c r="R70" s="33" t="s">
        <v>18</v>
      </c>
      <c r="S70" s="41" t="s">
        <v>21</v>
      </c>
      <c r="T70" s="41" t="s">
        <v>21</v>
      </c>
      <c r="U70" s="34" t="s">
        <v>22</v>
      </c>
      <c r="V70" s="34" t="s">
        <v>26</v>
      </c>
      <c r="W70" s="33" t="s">
        <v>26</v>
      </c>
      <c r="X70" s="33" t="s">
        <v>18</v>
      </c>
      <c r="Y70" s="33" t="s">
        <v>18</v>
      </c>
      <c r="Z70" s="33" t="s">
        <v>18</v>
      </c>
      <c r="AA70" s="41" t="s">
        <v>21</v>
      </c>
      <c r="AB70" s="41" t="s">
        <v>21</v>
      </c>
      <c r="AC70" s="34" t="s">
        <v>22</v>
      </c>
      <c r="AD70" s="33" t="s">
        <v>26</v>
      </c>
      <c r="AE70" s="33" t="s">
        <v>26</v>
      </c>
      <c r="AF70" s="33" t="s">
        <v>18</v>
      </c>
      <c r="AG70" s="33" t="s">
        <v>18</v>
      </c>
      <c r="AH70" s="33" t="s">
        <v>18</v>
      </c>
      <c r="AI70" s="41" t="s">
        <v>21</v>
      </c>
      <c r="AJ70" s="34"/>
      <c r="AL70" s="11">
        <f t="shared" si="10"/>
        <v>0</v>
      </c>
      <c r="AM70" s="11">
        <f t="shared" si="11"/>
        <v>7</v>
      </c>
      <c r="AN70" s="11">
        <f t="shared" si="12"/>
        <v>4</v>
      </c>
      <c r="AO70" s="11">
        <f t="shared" si="13"/>
        <v>7</v>
      </c>
      <c r="AP70" s="11">
        <f t="shared" si="14"/>
        <v>12</v>
      </c>
    </row>
    <row r="71" spans="2:42" ht="18.75" x14ac:dyDescent="0.25">
      <c r="B71" s="10" t="s">
        <v>87</v>
      </c>
      <c r="C71" s="80" t="s">
        <v>92</v>
      </c>
      <c r="D71" s="81"/>
      <c r="F71" s="33" t="s">
        <v>26</v>
      </c>
      <c r="G71" s="33" t="s">
        <v>18</v>
      </c>
      <c r="H71" s="33" t="s">
        <v>18</v>
      </c>
      <c r="I71" s="33" t="s">
        <v>18</v>
      </c>
      <c r="J71" s="41" t="s">
        <v>21</v>
      </c>
      <c r="K71" s="41" t="s">
        <v>21</v>
      </c>
      <c r="L71" s="34" t="s">
        <v>22</v>
      </c>
      <c r="M71" s="33" t="s">
        <v>26</v>
      </c>
      <c r="N71" s="33" t="s">
        <v>26</v>
      </c>
      <c r="O71" s="33" t="s">
        <v>18</v>
      </c>
      <c r="P71" s="33" t="s">
        <v>18</v>
      </c>
      <c r="Q71" s="33" t="s">
        <v>18</v>
      </c>
      <c r="R71" s="41" t="s">
        <v>21</v>
      </c>
      <c r="S71" s="41" t="s">
        <v>21</v>
      </c>
      <c r="T71" s="34" t="s">
        <v>22</v>
      </c>
      <c r="U71" s="34" t="s">
        <v>26</v>
      </c>
      <c r="V71" s="33" t="s">
        <v>26</v>
      </c>
      <c r="W71" s="33" t="s">
        <v>18</v>
      </c>
      <c r="X71" s="33" t="s">
        <v>18</v>
      </c>
      <c r="Y71" s="33" t="s">
        <v>18</v>
      </c>
      <c r="Z71" s="41" t="s">
        <v>21</v>
      </c>
      <c r="AA71" s="34" t="s">
        <v>22</v>
      </c>
      <c r="AB71" s="36" t="s">
        <v>26</v>
      </c>
      <c r="AC71" s="33" t="s">
        <v>26</v>
      </c>
      <c r="AD71" s="33" t="s">
        <v>26</v>
      </c>
      <c r="AE71" s="33" t="s">
        <v>18</v>
      </c>
      <c r="AF71" s="33" t="s">
        <v>18</v>
      </c>
      <c r="AG71" s="33" t="s">
        <v>18</v>
      </c>
      <c r="AH71" s="41" t="s">
        <v>21</v>
      </c>
      <c r="AI71" s="41" t="s">
        <v>21</v>
      </c>
      <c r="AJ71" s="33"/>
      <c r="AL71" s="11">
        <f t="shared" si="10"/>
        <v>0</v>
      </c>
      <c r="AM71" s="11">
        <f t="shared" si="11"/>
        <v>7</v>
      </c>
      <c r="AN71" s="11">
        <f t="shared" si="12"/>
        <v>3</v>
      </c>
      <c r="AO71" s="11">
        <f t="shared" si="13"/>
        <v>8</v>
      </c>
      <c r="AP71" s="11">
        <f t="shared" si="14"/>
        <v>12</v>
      </c>
    </row>
    <row r="72" spans="2:42" ht="18.75" x14ac:dyDescent="0.25">
      <c r="B72" s="10" t="s">
        <v>87</v>
      </c>
      <c r="C72" s="80" t="s">
        <v>93</v>
      </c>
      <c r="D72" s="81"/>
      <c r="F72" s="33" t="s">
        <v>18</v>
      </c>
      <c r="G72" s="33" t="s">
        <v>18</v>
      </c>
      <c r="H72" s="33" t="s">
        <v>18</v>
      </c>
      <c r="I72" s="41" t="s">
        <v>21</v>
      </c>
      <c r="J72" s="34" t="s">
        <v>22</v>
      </c>
      <c r="K72" s="33" t="s">
        <v>26</v>
      </c>
      <c r="L72" s="33" t="s">
        <v>26</v>
      </c>
      <c r="M72" s="33" t="s">
        <v>26</v>
      </c>
      <c r="N72" s="33" t="s">
        <v>18</v>
      </c>
      <c r="O72" s="33" t="s">
        <v>18</v>
      </c>
      <c r="P72" s="33" t="s">
        <v>18</v>
      </c>
      <c r="Q72" s="41" t="s">
        <v>21</v>
      </c>
      <c r="R72" s="34" t="s">
        <v>22</v>
      </c>
      <c r="S72" s="34" t="s">
        <v>22</v>
      </c>
      <c r="T72" s="33" t="s">
        <v>26</v>
      </c>
      <c r="U72" s="33" t="s">
        <v>26</v>
      </c>
      <c r="V72" s="33" t="s">
        <v>18</v>
      </c>
      <c r="W72" s="33" t="s">
        <v>18</v>
      </c>
      <c r="X72" s="33" t="s">
        <v>18</v>
      </c>
      <c r="Y72" s="41" t="s">
        <v>21</v>
      </c>
      <c r="Z72" s="34" t="s">
        <v>22</v>
      </c>
      <c r="AA72" s="34" t="s">
        <v>22</v>
      </c>
      <c r="AB72" s="33" t="s">
        <v>26</v>
      </c>
      <c r="AC72" s="33" t="s">
        <v>26</v>
      </c>
      <c r="AD72" s="33" t="s">
        <v>18</v>
      </c>
      <c r="AE72" s="33" t="s">
        <v>18</v>
      </c>
      <c r="AF72" s="33" t="s">
        <v>18</v>
      </c>
      <c r="AG72" s="41" t="s">
        <v>21</v>
      </c>
      <c r="AH72" s="34" t="s">
        <v>22</v>
      </c>
      <c r="AI72" s="33" t="s">
        <v>26</v>
      </c>
      <c r="AJ72" s="33"/>
      <c r="AL72" s="11">
        <f t="shared" si="10"/>
        <v>0</v>
      </c>
      <c r="AM72" s="11">
        <f t="shared" si="11"/>
        <v>4</v>
      </c>
      <c r="AN72" s="11">
        <f t="shared" si="12"/>
        <v>6</v>
      </c>
      <c r="AO72" s="11">
        <f t="shared" si="13"/>
        <v>8</v>
      </c>
      <c r="AP72" s="11">
        <f t="shared" si="14"/>
        <v>12</v>
      </c>
    </row>
    <row r="73" spans="2:42" ht="18.75" x14ac:dyDescent="0.25">
      <c r="B73" s="10" t="s">
        <v>87</v>
      </c>
      <c r="C73" s="80" t="s">
        <v>94</v>
      </c>
      <c r="D73" s="81"/>
      <c r="F73" s="33" t="s">
        <v>18</v>
      </c>
      <c r="G73" s="33" t="s">
        <v>18</v>
      </c>
      <c r="H73" s="34" t="s">
        <v>21</v>
      </c>
      <c r="I73" s="34" t="s">
        <v>21</v>
      </c>
      <c r="J73" s="34" t="s">
        <v>22</v>
      </c>
      <c r="K73" s="34" t="s">
        <v>22</v>
      </c>
      <c r="L73" s="34" t="s">
        <v>26</v>
      </c>
      <c r="M73" s="34" t="s">
        <v>18</v>
      </c>
      <c r="N73" s="34" t="s">
        <v>18</v>
      </c>
      <c r="O73" s="34" t="s">
        <v>18</v>
      </c>
      <c r="P73" s="34" t="s">
        <v>21</v>
      </c>
      <c r="Q73" s="34" t="s">
        <v>21</v>
      </c>
      <c r="R73" s="34" t="s">
        <v>22</v>
      </c>
      <c r="S73" s="34" t="s">
        <v>22</v>
      </c>
      <c r="T73" s="34" t="s">
        <v>26</v>
      </c>
      <c r="U73" s="33" t="s">
        <v>18</v>
      </c>
      <c r="V73" s="33" t="s">
        <v>18</v>
      </c>
      <c r="W73" s="33" t="s">
        <v>18</v>
      </c>
      <c r="X73" s="41" t="s">
        <v>21</v>
      </c>
      <c r="Y73" s="34" t="s">
        <v>22</v>
      </c>
      <c r="Z73" s="34" t="s">
        <v>22</v>
      </c>
      <c r="AA73" s="33" t="s">
        <v>26</v>
      </c>
      <c r="AB73" s="33" t="s">
        <v>26</v>
      </c>
      <c r="AC73" s="33" t="s">
        <v>18</v>
      </c>
      <c r="AD73" s="33" t="s">
        <v>18</v>
      </c>
      <c r="AE73" s="33" t="s">
        <v>18</v>
      </c>
      <c r="AF73" s="34" t="s">
        <v>21</v>
      </c>
      <c r="AG73" s="34" t="s">
        <v>21</v>
      </c>
      <c r="AH73" s="34" t="s">
        <v>22</v>
      </c>
      <c r="AI73" s="34" t="s">
        <v>22</v>
      </c>
      <c r="AJ73" s="33"/>
      <c r="AL73" s="11">
        <f t="shared" si="10"/>
        <v>0</v>
      </c>
      <c r="AM73" s="11">
        <f t="shared" si="11"/>
        <v>7</v>
      </c>
      <c r="AN73" s="11">
        <f t="shared" si="12"/>
        <v>8</v>
      </c>
      <c r="AO73" s="11">
        <f t="shared" si="13"/>
        <v>4</v>
      </c>
      <c r="AP73" s="11">
        <f t="shared" si="14"/>
        <v>11</v>
      </c>
    </row>
    <row r="74" spans="2:42" ht="18.75" x14ac:dyDescent="0.25">
      <c r="B74" s="10" t="s">
        <v>87</v>
      </c>
      <c r="C74" s="80" t="s">
        <v>95</v>
      </c>
      <c r="D74" s="81"/>
      <c r="F74" s="33" t="s">
        <v>18</v>
      </c>
      <c r="G74" s="41" t="s">
        <v>21</v>
      </c>
      <c r="H74" s="34" t="s">
        <v>22</v>
      </c>
      <c r="I74" s="34" t="s">
        <v>22</v>
      </c>
      <c r="J74" s="33" t="s">
        <v>26</v>
      </c>
      <c r="K74" s="33" t="s">
        <v>26</v>
      </c>
      <c r="L74" s="33" t="s">
        <v>18</v>
      </c>
      <c r="M74" s="33" t="s">
        <v>18</v>
      </c>
      <c r="N74" s="33" t="s">
        <v>18</v>
      </c>
      <c r="O74" s="41" t="s">
        <v>21</v>
      </c>
      <c r="P74" s="34" t="s">
        <v>22</v>
      </c>
      <c r="Q74" s="34" t="s">
        <v>22</v>
      </c>
      <c r="R74" s="33" t="s">
        <v>26</v>
      </c>
      <c r="S74" s="33" t="s">
        <v>26</v>
      </c>
      <c r="T74" s="33" t="s">
        <v>18</v>
      </c>
      <c r="U74" s="33" t="s">
        <v>18</v>
      </c>
      <c r="V74" s="33" t="s">
        <v>18</v>
      </c>
      <c r="W74" s="41" t="s">
        <v>21</v>
      </c>
      <c r="X74" s="41" t="s">
        <v>21</v>
      </c>
      <c r="Y74" s="34" t="s">
        <v>22</v>
      </c>
      <c r="Z74" s="34" t="s">
        <v>22</v>
      </c>
      <c r="AA74" s="34" t="s">
        <v>26</v>
      </c>
      <c r="AB74" s="36" t="s">
        <v>18</v>
      </c>
      <c r="AC74" s="33" t="s">
        <v>18</v>
      </c>
      <c r="AD74" s="33" t="s">
        <v>18</v>
      </c>
      <c r="AE74" s="41" t="s">
        <v>21</v>
      </c>
      <c r="AF74" s="34" t="s">
        <v>22</v>
      </c>
      <c r="AG74" s="34" t="s">
        <v>22</v>
      </c>
      <c r="AH74" s="33" t="s">
        <v>26</v>
      </c>
      <c r="AI74" s="33" t="s">
        <v>26</v>
      </c>
      <c r="AJ74" s="33"/>
      <c r="AL74" s="11">
        <f t="shared" si="10"/>
        <v>0</v>
      </c>
      <c r="AM74" s="11">
        <f t="shared" si="11"/>
        <v>5</v>
      </c>
      <c r="AN74" s="11">
        <f t="shared" si="12"/>
        <v>8</v>
      </c>
      <c r="AO74" s="11">
        <f t="shared" si="13"/>
        <v>7</v>
      </c>
      <c r="AP74" s="11">
        <f t="shared" si="14"/>
        <v>10</v>
      </c>
    </row>
    <row r="75" spans="2:42" ht="18.75" x14ac:dyDescent="0.25">
      <c r="B75" s="10" t="s">
        <v>87</v>
      </c>
      <c r="C75" s="80" t="s">
        <v>96</v>
      </c>
      <c r="D75" s="81"/>
      <c r="F75" s="41" t="s">
        <v>21</v>
      </c>
      <c r="G75" s="34" t="s">
        <v>22</v>
      </c>
      <c r="H75" s="34" t="s">
        <v>22</v>
      </c>
      <c r="I75" s="33" t="s">
        <v>26</v>
      </c>
      <c r="J75" s="33" t="s">
        <v>26</v>
      </c>
      <c r="K75" s="33" t="s">
        <v>18</v>
      </c>
      <c r="L75" s="33" t="s">
        <v>18</v>
      </c>
      <c r="M75" s="33" t="s">
        <v>18</v>
      </c>
      <c r="N75" s="34" t="s">
        <v>21</v>
      </c>
      <c r="O75" s="34" t="s">
        <v>21</v>
      </c>
      <c r="P75" s="34" t="s">
        <v>22</v>
      </c>
      <c r="Q75" s="34" t="s">
        <v>22</v>
      </c>
      <c r="R75" s="34" t="s">
        <v>26</v>
      </c>
      <c r="S75" s="33" t="s">
        <v>18</v>
      </c>
      <c r="T75" s="33" t="s">
        <v>18</v>
      </c>
      <c r="U75" s="33" t="s">
        <v>18</v>
      </c>
      <c r="V75" s="41" t="s">
        <v>21</v>
      </c>
      <c r="W75" s="34" t="s">
        <v>21</v>
      </c>
      <c r="X75" s="34" t="s">
        <v>22</v>
      </c>
      <c r="Y75" s="34" t="s">
        <v>22</v>
      </c>
      <c r="Z75" s="33" t="s">
        <v>26</v>
      </c>
      <c r="AA75" s="33" t="s">
        <v>18</v>
      </c>
      <c r="AB75" s="33" t="s">
        <v>18</v>
      </c>
      <c r="AC75" s="33" t="s">
        <v>18</v>
      </c>
      <c r="AD75" s="41" t="s">
        <v>21</v>
      </c>
      <c r="AE75" s="34" t="s">
        <v>22</v>
      </c>
      <c r="AF75" s="34" t="s">
        <v>22</v>
      </c>
      <c r="AG75" s="33" t="s">
        <v>26</v>
      </c>
      <c r="AH75" s="33" t="s">
        <v>26</v>
      </c>
      <c r="AI75" s="33" t="s">
        <v>18</v>
      </c>
      <c r="AJ75" s="33"/>
      <c r="AL75" s="11">
        <f t="shared" si="10"/>
        <v>0</v>
      </c>
      <c r="AM75" s="11">
        <f t="shared" si="11"/>
        <v>6</v>
      </c>
      <c r="AN75" s="11">
        <f t="shared" si="12"/>
        <v>8</v>
      </c>
      <c r="AO75" s="11">
        <f t="shared" si="13"/>
        <v>6</v>
      </c>
      <c r="AP75" s="11">
        <f t="shared" si="14"/>
        <v>10</v>
      </c>
    </row>
    <row r="76" spans="2:42" ht="18.75" x14ac:dyDescent="0.25">
      <c r="B76" s="10" t="s">
        <v>87</v>
      </c>
      <c r="C76" s="80" t="s">
        <v>97</v>
      </c>
      <c r="D76" s="81"/>
      <c r="F76" s="41" t="s">
        <v>21</v>
      </c>
      <c r="G76" s="34" t="s">
        <v>22</v>
      </c>
      <c r="H76" s="33" t="s">
        <v>26</v>
      </c>
      <c r="I76" s="33" t="s">
        <v>26</v>
      </c>
      <c r="J76" s="33" t="s">
        <v>18</v>
      </c>
      <c r="K76" s="33" t="s">
        <v>18</v>
      </c>
      <c r="L76" s="33" t="s">
        <v>18</v>
      </c>
      <c r="M76" s="41" t="s">
        <v>21</v>
      </c>
      <c r="N76" s="41" t="s">
        <v>21</v>
      </c>
      <c r="O76" s="34" t="s">
        <v>22</v>
      </c>
      <c r="P76" s="34" t="s">
        <v>22</v>
      </c>
      <c r="Q76" s="34" t="s">
        <v>26</v>
      </c>
      <c r="R76" s="33" t="s">
        <v>18</v>
      </c>
      <c r="S76" s="33" t="s">
        <v>18</v>
      </c>
      <c r="T76" s="33" t="s">
        <v>18</v>
      </c>
      <c r="U76" s="41" t="s">
        <v>21</v>
      </c>
      <c r="V76" s="41" t="s">
        <v>21</v>
      </c>
      <c r="W76" s="34" t="s">
        <v>22</v>
      </c>
      <c r="X76" s="33" t="s">
        <v>26</v>
      </c>
      <c r="Y76" s="34" t="s">
        <v>26</v>
      </c>
      <c r="Z76" s="33" t="s">
        <v>18</v>
      </c>
      <c r="AA76" s="33" t="s">
        <v>18</v>
      </c>
      <c r="AB76" s="33" t="s">
        <v>18</v>
      </c>
      <c r="AC76" s="41" t="s">
        <v>21</v>
      </c>
      <c r="AD76" s="41" t="s">
        <v>21</v>
      </c>
      <c r="AE76" s="34" t="s">
        <v>22</v>
      </c>
      <c r="AF76" s="33" t="s">
        <v>26</v>
      </c>
      <c r="AG76" s="33" t="s">
        <v>26</v>
      </c>
      <c r="AH76" s="33" t="s">
        <v>18</v>
      </c>
      <c r="AI76" s="33" t="s">
        <v>18</v>
      </c>
      <c r="AJ76" s="41"/>
      <c r="AL76" s="11">
        <f t="shared" si="10"/>
        <v>0</v>
      </c>
      <c r="AM76" s="11">
        <f t="shared" si="11"/>
        <v>7</v>
      </c>
      <c r="AN76" s="11">
        <f t="shared" si="12"/>
        <v>5</v>
      </c>
      <c r="AO76" s="11">
        <f t="shared" si="13"/>
        <v>7</v>
      </c>
      <c r="AP76" s="11">
        <f t="shared" si="14"/>
        <v>11</v>
      </c>
    </row>
    <row r="77" spans="2:42" ht="18.75" x14ac:dyDescent="0.25">
      <c r="B77" s="10" t="s">
        <v>87</v>
      </c>
      <c r="C77" s="80" t="s">
        <v>98</v>
      </c>
      <c r="D77" s="81"/>
      <c r="F77" s="34" t="s">
        <v>22</v>
      </c>
      <c r="G77" s="34" t="s">
        <v>22</v>
      </c>
      <c r="H77" s="33" t="s">
        <v>26</v>
      </c>
      <c r="I77" s="33" t="s">
        <v>18</v>
      </c>
      <c r="J77" s="33" t="s">
        <v>18</v>
      </c>
      <c r="K77" s="33" t="s">
        <v>18</v>
      </c>
      <c r="L77" s="41" t="s">
        <v>21</v>
      </c>
      <c r="M77" s="34" t="s">
        <v>22</v>
      </c>
      <c r="N77" s="34" t="s">
        <v>22</v>
      </c>
      <c r="O77" s="33" t="s">
        <v>26</v>
      </c>
      <c r="P77" s="33" t="s">
        <v>26</v>
      </c>
      <c r="Q77" s="33" t="s">
        <v>18</v>
      </c>
      <c r="R77" s="33" t="s">
        <v>18</v>
      </c>
      <c r="S77" s="33" t="s">
        <v>18</v>
      </c>
      <c r="T77" s="41" t="s">
        <v>21</v>
      </c>
      <c r="U77" s="41" t="s">
        <v>21</v>
      </c>
      <c r="V77" s="34" t="s">
        <v>22</v>
      </c>
      <c r="W77" s="34" t="s">
        <v>22</v>
      </c>
      <c r="X77" s="33" t="s">
        <v>26</v>
      </c>
      <c r="Y77" s="33" t="s">
        <v>18</v>
      </c>
      <c r="Z77" s="33" t="s">
        <v>18</v>
      </c>
      <c r="AA77" s="33" t="s">
        <v>18</v>
      </c>
      <c r="AB77" s="41" t="s">
        <v>21</v>
      </c>
      <c r="AC77" s="41" t="s">
        <v>21</v>
      </c>
      <c r="AD77" s="34" t="s">
        <v>22</v>
      </c>
      <c r="AE77" s="34" t="s">
        <v>22</v>
      </c>
      <c r="AF77" s="33" t="s">
        <v>26</v>
      </c>
      <c r="AG77" s="33" t="s">
        <v>18</v>
      </c>
      <c r="AH77" s="33" t="s">
        <v>18</v>
      </c>
      <c r="AI77" s="33" t="s">
        <v>18</v>
      </c>
      <c r="AJ77" s="41"/>
      <c r="AL77" s="11">
        <f t="shared" si="10"/>
        <v>0</v>
      </c>
      <c r="AM77" s="11">
        <f t="shared" si="11"/>
        <v>5</v>
      </c>
      <c r="AN77" s="11">
        <f t="shared" si="12"/>
        <v>8</v>
      </c>
      <c r="AO77" s="11">
        <f t="shared" si="13"/>
        <v>5</v>
      </c>
      <c r="AP77" s="11">
        <f t="shared" si="14"/>
        <v>12</v>
      </c>
    </row>
    <row r="78" spans="2:42" ht="18.75" x14ac:dyDescent="0.25">
      <c r="B78" s="10" t="s">
        <v>87</v>
      </c>
      <c r="C78" s="80" t="s">
        <v>99</v>
      </c>
      <c r="D78" s="81"/>
      <c r="F78" s="34" t="s">
        <v>22</v>
      </c>
      <c r="G78" s="33" t="s">
        <v>26</v>
      </c>
      <c r="H78" s="33" t="s">
        <v>18</v>
      </c>
      <c r="I78" s="33" t="s">
        <v>18</v>
      </c>
      <c r="J78" s="33" t="s">
        <v>18</v>
      </c>
      <c r="K78" s="41" t="s">
        <v>21</v>
      </c>
      <c r="L78" s="34" t="s">
        <v>22</v>
      </c>
      <c r="M78" s="34" t="s">
        <v>22</v>
      </c>
      <c r="N78" s="33" t="s">
        <v>26</v>
      </c>
      <c r="O78" s="33" t="s">
        <v>26</v>
      </c>
      <c r="P78" s="33" t="s">
        <v>18</v>
      </c>
      <c r="Q78" s="33" t="s">
        <v>18</v>
      </c>
      <c r="R78" s="33" t="s">
        <v>18</v>
      </c>
      <c r="S78" s="41" t="s">
        <v>21</v>
      </c>
      <c r="T78" s="34" t="s">
        <v>22</v>
      </c>
      <c r="U78" s="34" t="s">
        <v>22</v>
      </c>
      <c r="V78" s="33" t="s">
        <v>26</v>
      </c>
      <c r="W78" s="33" t="s">
        <v>26</v>
      </c>
      <c r="X78" s="33" t="s">
        <v>18</v>
      </c>
      <c r="Y78" s="33" t="s">
        <v>18</v>
      </c>
      <c r="Z78" s="33" t="s">
        <v>18</v>
      </c>
      <c r="AA78" s="41" t="s">
        <v>21</v>
      </c>
      <c r="AB78" s="34" t="s">
        <v>22</v>
      </c>
      <c r="AC78" s="34" t="s">
        <v>22</v>
      </c>
      <c r="AD78" s="34" t="s">
        <v>22</v>
      </c>
      <c r="AE78" s="33" t="s">
        <v>26</v>
      </c>
      <c r="AF78" s="33" t="s">
        <v>18</v>
      </c>
      <c r="AG78" s="33" t="s">
        <v>18</v>
      </c>
      <c r="AH78" s="33" t="s">
        <v>18</v>
      </c>
      <c r="AI78" s="41" t="s">
        <v>21</v>
      </c>
      <c r="AJ78" s="34"/>
      <c r="AL78" s="11">
        <f t="shared" si="10"/>
        <v>0</v>
      </c>
      <c r="AM78" s="11">
        <f t="shared" si="11"/>
        <v>4</v>
      </c>
      <c r="AN78" s="11">
        <f t="shared" si="12"/>
        <v>8</v>
      </c>
      <c r="AO78" s="11">
        <f t="shared" si="13"/>
        <v>6</v>
      </c>
      <c r="AP78" s="11">
        <f t="shared" si="14"/>
        <v>12</v>
      </c>
    </row>
    <row r="79" spans="2:42" ht="18.75" x14ac:dyDescent="0.25">
      <c r="B79" s="10" t="s">
        <v>87</v>
      </c>
      <c r="C79" s="80" t="s">
        <v>100</v>
      </c>
      <c r="D79" s="81"/>
      <c r="F79" s="33" t="s">
        <v>26</v>
      </c>
      <c r="G79" s="33" t="s">
        <v>18</v>
      </c>
      <c r="H79" s="33" t="s">
        <v>18</v>
      </c>
      <c r="I79" s="33" t="s">
        <v>18</v>
      </c>
      <c r="J79" s="41" t="s">
        <v>21</v>
      </c>
      <c r="K79" s="34" t="s">
        <v>22</v>
      </c>
      <c r="L79" s="34" t="s">
        <v>22</v>
      </c>
      <c r="M79" s="34" t="s">
        <v>26</v>
      </c>
      <c r="N79" s="34" t="s">
        <v>26</v>
      </c>
      <c r="O79" s="33" t="s">
        <v>18</v>
      </c>
      <c r="P79" s="33" t="s">
        <v>18</v>
      </c>
      <c r="Q79" s="33" t="s">
        <v>18</v>
      </c>
      <c r="R79" s="41" t="s">
        <v>21</v>
      </c>
      <c r="S79" s="34" t="s">
        <v>22</v>
      </c>
      <c r="T79" s="34" t="s">
        <v>22</v>
      </c>
      <c r="U79" s="33" t="s">
        <v>26</v>
      </c>
      <c r="V79" s="33" t="s">
        <v>26</v>
      </c>
      <c r="W79" s="33" t="s">
        <v>18</v>
      </c>
      <c r="X79" s="33" t="s">
        <v>18</v>
      </c>
      <c r="Y79" s="33" t="s">
        <v>18</v>
      </c>
      <c r="Z79" s="41" t="s">
        <v>21</v>
      </c>
      <c r="AA79" s="41" t="s">
        <v>21</v>
      </c>
      <c r="AB79" s="34" t="s">
        <v>22</v>
      </c>
      <c r="AC79" s="34" t="s">
        <v>22</v>
      </c>
      <c r="AD79" s="33" t="s">
        <v>26</v>
      </c>
      <c r="AE79" s="33" t="s">
        <v>18</v>
      </c>
      <c r="AF79" s="33" t="s">
        <v>18</v>
      </c>
      <c r="AG79" s="33" t="s">
        <v>18</v>
      </c>
      <c r="AH79" s="41" t="s">
        <v>21</v>
      </c>
      <c r="AI79" s="34" t="s">
        <v>22</v>
      </c>
      <c r="AJ79" s="34"/>
      <c r="AL79" s="11">
        <f t="shared" si="10"/>
        <v>0</v>
      </c>
      <c r="AM79" s="11">
        <f t="shared" si="11"/>
        <v>5</v>
      </c>
      <c r="AN79" s="11">
        <f t="shared" si="12"/>
        <v>7</v>
      </c>
      <c r="AO79" s="11">
        <f t="shared" si="13"/>
        <v>6</v>
      </c>
      <c r="AP79" s="11">
        <f t="shared" si="14"/>
        <v>12</v>
      </c>
    </row>
    <row r="80" spans="2:42" ht="18.75" x14ac:dyDescent="0.25">
      <c r="B80" s="10" t="s">
        <v>87</v>
      </c>
      <c r="C80" s="80" t="s">
        <v>101</v>
      </c>
      <c r="D80" s="81"/>
      <c r="F80" s="33" t="s">
        <v>18</v>
      </c>
      <c r="G80" s="33" t="s">
        <v>18</v>
      </c>
      <c r="H80" s="33" t="s">
        <v>18</v>
      </c>
      <c r="I80" s="41" t="s">
        <v>21</v>
      </c>
      <c r="J80" s="41" t="s">
        <v>21</v>
      </c>
      <c r="K80" s="34" t="s">
        <v>22</v>
      </c>
      <c r="L80" s="33" t="s">
        <v>26</v>
      </c>
      <c r="M80" s="33" t="s">
        <v>26</v>
      </c>
      <c r="N80" s="33" t="s">
        <v>18</v>
      </c>
      <c r="O80" s="33" t="s">
        <v>18</v>
      </c>
      <c r="P80" s="33" t="s">
        <v>18</v>
      </c>
      <c r="Q80" s="41" t="s">
        <v>21</v>
      </c>
      <c r="R80" s="41" t="s">
        <v>21</v>
      </c>
      <c r="S80" s="34" t="s">
        <v>22</v>
      </c>
      <c r="T80" s="33" t="s">
        <v>26</v>
      </c>
      <c r="U80" s="33" t="s">
        <v>26</v>
      </c>
      <c r="V80" s="33" t="s">
        <v>18</v>
      </c>
      <c r="W80" s="33" t="s">
        <v>18</v>
      </c>
      <c r="X80" s="33" t="s">
        <v>18</v>
      </c>
      <c r="Y80" s="41" t="s">
        <v>21</v>
      </c>
      <c r="Z80" s="41" t="s">
        <v>21</v>
      </c>
      <c r="AA80" s="34" t="s">
        <v>22</v>
      </c>
      <c r="AB80" s="34" t="s">
        <v>22</v>
      </c>
      <c r="AC80" s="33" t="s">
        <v>26</v>
      </c>
      <c r="AD80" s="33" t="s">
        <v>18</v>
      </c>
      <c r="AE80" s="33" t="s">
        <v>18</v>
      </c>
      <c r="AF80" s="33" t="s">
        <v>18</v>
      </c>
      <c r="AG80" s="41" t="s">
        <v>21</v>
      </c>
      <c r="AH80" s="41" t="s">
        <v>21</v>
      </c>
      <c r="AI80" s="34" t="s">
        <v>22</v>
      </c>
      <c r="AJ80" s="33"/>
      <c r="AL80" s="11">
        <f t="shared" ref="AL80:AL84" si="15">COUNTIF($F80:$AJ80,"ST*")</f>
        <v>0</v>
      </c>
      <c r="AM80" s="11">
        <f t="shared" ref="AM80:AM82" si="16">COUNTIF($F80:$AJ80,"M*")</f>
        <v>8</v>
      </c>
      <c r="AN80" s="11">
        <f t="shared" ref="AN80:AN82" si="17">COUNTIF($F80:$AJ80,"A*")</f>
        <v>5</v>
      </c>
      <c r="AO80" s="11">
        <f t="shared" ref="AO80:AO82" si="18">COUNTIF($F80:$AJ80,"N*")</f>
        <v>5</v>
      </c>
      <c r="AP80" s="11">
        <f t="shared" ref="AP80:AP82" si="19">COUNTIF($F80:$AJ80,"O*")</f>
        <v>12</v>
      </c>
    </row>
    <row r="81" spans="2:42" ht="18.75" x14ac:dyDescent="0.25">
      <c r="B81" s="10" t="s">
        <v>87</v>
      </c>
      <c r="C81" s="80" t="s">
        <v>102</v>
      </c>
      <c r="D81" s="81"/>
      <c r="F81" s="33" t="s">
        <v>18</v>
      </c>
      <c r="G81" s="33" t="s">
        <v>18</v>
      </c>
      <c r="H81" s="41" t="s">
        <v>21</v>
      </c>
      <c r="I81" s="41" t="s">
        <v>21</v>
      </c>
      <c r="J81" s="34" t="s">
        <v>22</v>
      </c>
      <c r="K81" s="34" t="s">
        <v>22</v>
      </c>
      <c r="L81" s="34" t="s">
        <v>26</v>
      </c>
      <c r="M81" s="33" t="s">
        <v>18</v>
      </c>
      <c r="N81" s="33" t="s">
        <v>18</v>
      </c>
      <c r="O81" s="33" t="s">
        <v>18</v>
      </c>
      <c r="P81" s="41" t="s">
        <v>21</v>
      </c>
      <c r="Q81" s="41" t="s">
        <v>21</v>
      </c>
      <c r="R81" s="34" t="s">
        <v>22</v>
      </c>
      <c r="S81" s="33" t="s">
        <v>26</v>
      </c>
      <c r="T81" s="33" t="s">
        <v>26</v>
      </c>
      <c r="U81" s="33" t="s">
        <v>18</v>
      </c>
      <c r="V81" s="33" t="s">
        <v>18</v>
      </c>
      <c r="W81" s="33" t="s">
        <v>18</v>
      </c>
      <c r="X81" s="41" t="s">
        <v>21</v>
      </c>
      <c r="Y81" s="41" t="s">
        <v>21</v>
      </c>
      <c r="Z81" s="34" t="s">
        <v>22</v>
      </c>
      <c r="AA81" s="34" t="s">
        <v>26</v>
      </c>
      <c r="AB81" s="33" t="s">
        <v>26</v>
      </c>
      <c r="AC81" s="33" t="s">
        <v>18</v>
      </c>
      <c r="AD81" s="33" t="s">
        <v>18</v>
      </c>
      <c r="AE81" s="33" t="s">
        <v>18</v>
      </c>
      <c r="AF81" s="41" t="s">
        <v>21</v>
      </c>
      <c r="AG81" s="41" t="s">
        <v>21</v>
      </c>
      <c r="AH81" s="34" t="s">
        <v>22</v>
      </c>
      <c r="AI81" s="34" t="s">
        <v>22</v>
      </c>
      <c r="AJ81" s="33"/>
      <c r="AL81" s="11">
        <f t="shared" si="15"/>
        <v>0</v>
      </c>
      <c r="AM81" s="11">
        <f t="shared" si="16"/>
        <v>8</v>
      </c>
      <c r="AN81" s="11">
        <f t="shared" si="17"/>
        <v>6</v>
      </c>
      <c r="AO81" s="11">
        <f t="shared" si="18"/>
        <v>5</v>
      </c>
      <c r="AP81" s="11">
        <f t="shared" si="19"/>
        <v>11</v>
      </c>
    </row>
    <row r="82" spans="2:42" ht="18.75" x14ac:dyDescent="0.25">
      <c r="B82" s="10" t="s">
        <v>87</v>
      </c>
      <c r="C82" s="80" t="s">
        <v>103</v>
      </c>
      <c r="D82" s="81"/>
      <c r="F82" s="33" t="s">
        <v>18</v>
      </c>
      <c r="G82" s="41" t="s">
        <v>21</v>
      </c>
      <c r="H82" s="41" t="s">
        <v>21</v>
      </c>
      <c r="I82" s="34" t="s">
        <v>22</v>
      </c>
      <c r="J82" s="34" t="s">
        <v>22</v>
      </c>
      <c r="K82" s="34" t="s">
        <v>26</v>
      </c>
      <c r="L82" s="33" t="s">
        <v>18</v>
      </c>
      <c r="M82" s="33" t="s">
        <v>18</v>
      </c>
      <c r="N82" s="33" t="s">
        <v>18</v>
      </c>
      <c r="O82" s="41" t="s">
        <v>21</v>
      </c>
      <c r="P82" s="41" t="s">
        <v>21</v>
      </c>
      <c r="Q82" s="34" t="s">
        <v>22</v>
      </c>
      <c r="R82" s="33" t="s">
        <v>26</v>
      </c>
      <c r="S82" s="33" t="s">
        <v>26</v>
      </c>
      <c r="T82" s="33" t="s">
        <v>18</v>
      </c>
      <c r="U82" s="33" t="s">
        <v>18</v>
      </c>
      <c r="V82" s="33" t="s">
        <v>18</v>
      </c>
      <c r="W82" s="41" t="s">
        <v>21</v>
      </c>
      <c r="X82" s="34" t="s">
        <v>21</v>
      </c>
      <c r="Y82" s="34" t="s">
        <v>22</v>
      </c>
      <c r="Z82" s="34" t="s">
        <v>22</v>
      </c>
      <c r="AA82" s="33" t="s">
        <v>26</v>
      </c>
      <c r="AB82" s="33" t="s">
        <v>18</v>
      </c>
      <c r="AC82" s="33" t="s">
        <v>18</v>
      </c>
      <c r="AD82" s="33" t="s">
        <v>18</v>
      </c>
      <c r="AE82" s="41" t="s">
        <v>21</v>
      </c>
      <c r="AF82" s="41" t="s">
        <v>21</v>
      </c>
      <c r="AG82" s="34" t="s">
        <v>22</v>
      </c>
      <c r="AH82" s="34" t="s">
        <v>22</v>
      </c>
      <c r="AI82" s="34" t="s">
        <v>26</v>
      </c>
      <c r="AJ82" s="33"/>
      <c r="AL82" s="11">
        <f t="shared" si="15"/>
        <v>0</v>
      </c>
      <c r="AM82" s="11">
        <f t="shared" si="16"/>
        <v>8</v>
      </c>
      <c r="AN82" s="11">
        <f t="shared" si="17"/>
        <v>7</v>
      </c>
      <c r="AO82" s="11">
        <f t="shared" si="18"/>
        <v>5</v>
      </c>
      <c r="AP82" s="11">
        <f t="shared" si="19"/>
        <v>10</v>
      </c>
    </row>
    <row r="83" spans="2:42" ht="18.75" x14ac:dyDescent="0.25">
      <c r="B83" s="10" t="s">
        <v>87</v>
      </c>
      <c r="C83" s="15" t="s">
        <v>104</v>
      </c>
      <c r="D83" s="16"/>
      <c r="F83" s="41" t="s">
        <v>21</v>
      </c>
      <c r="G83" s="34" t="s">
        <v>22</v>
      </c>
      <c r="H83" s="34" t="s">
        <v>22</v>
      </c>
      <c r="I83" s="41" t="s">
        <v>21</v>
      </c>
      <c r="J83" s="33" t="s">
        <v>18</v>
      </c>
      <c r="K83" s="33" t="s">
        <v>18</v>
      </c>
      <c r="L83" s="41" t="s">
        <v>21</v>
      </c>
      <c r="M83" s="41" t="s">
        <v>21</v>
      </c>
      <c r="N83" s="34" t="s">
        <v>22</v>
      </c>
      <c r="O83" s="34" t="s">
        <v>22</v>
      </c>
      <c r="P83" s="41" t="s">
        <v>21</v>
      </c>
      <c r="Q83" s="33" t="s">
        <v>18</v>
      </c>
      <c r="R83" s="33" t="s">
        <v>18</v>
      </c>
      <c r="S83" s="34" t="s">
        <v>22</v>
      </c>
      <c r="T83" s="33" t="s">
        <v>18</v>
      </c>
      <c r="U83" s="33" t="s">
        <v>18</v>
      </c>
      <c r="V83" s="41" t="s">
        <v>21</v>
      </c>
      <c r="W83" s="41" t="s">
        <v>21</v>
      </c>
      <c r="X83" s="34" t="s">
        <v>22</v>
      </c>
      <c r="Y83" s="34" t="s">
        <v>22</v>
      </c>
      <c r="Z83" s="34" t="s">
        <v>22</v>
      </c>
      <c r="AA83" s="33" t="s">
        <v>18</v>
      </c>
      <c r="AB83" s="33" t="s">
        <v>18</v>
      </c>
      <c r="AC83" s="41" t="s">
        <v>21</v>
      </c>
      <c r="AD83" s="41" t="s">
        <v>21</v>
      </c>
      <c r="AE83" s="34" t="s">
        <v>22</v>
      </c>
      <c r="AF83" s="34" t="s">
        <v>22</v>
      </c>
      <c r="AG83" s="41" t="s">
        <v>21</v>
      </c>
      <c r="AH83" s="33" t="s">
        <v>18</v>
      </c>
      <c r="AI83" s="33" t="s">
        <v>18</v>
      </c>
      <c r="AJ83" s="41"/>
      <c r="AL83" s="11">
        <f t="shared" si="15"/>
        <v>0</v>
      </c>
      <c r="AM83" s="11">
        <f>COUNTIF($F66:$AJ66,"M*")</f>
        <v>5</v>
      </c>
      <c r="AN83" s="11">
        <f>COUNTIF($F66:$AJ66,"A*")</f>
        <v>7</v>
      </c>
      <c r="AO83" s="11">
        <f>COUNTIF($F66:$AJ66,"N*")</f>
        <v>8</v>
      </c>
      <c r="AP83" s="11">
        <f>COUNTIF($F66:$AJ66,"O*")</f>
        <v>10</v>
      </c>
    </row>
    <row r="84" spans="2:42" ht="19.5" thickBot="1" x14ac:dyDescent="0.3">
      <c r="B84" s="10" t="s">
        <v>87</v>
      </c>
      <c r="C84" s="80" t="s">
        <v>105</v>
      </c>
      <c r="D84" s="81"/>
      <c r="F84" s="37" t="s">
        <v>22</v>
      </c>
      <c r="G84" s="42" t="s">
        <v>21</v>
      </c>
      <c r="H84" s="42" t="s">
        <v>21</v>
      </c>
      <c r="I84" s="37" t="s">
        <v>22</v>
      </c>
      <c r="J84" s="43" t="s">
        <v>18</v>
      </c>
      <c r="K84" s="43" t="s">
        <v>18</v>
      </c>
      <c r="L84" s="37" t="s">
        <v>22</v>
      </c>
      <c r="M84" s="37" t="s">
        <v>22</v>
      </c>
      <c r="N84" s="42" t="s">
        <v>21</v>
      </c>
      <c r="O84" s="42" t="s">
        <v>21</v>
      </c>
      <c r="P84" s="37" t="s">
        <v>22</v>
      </c>
      <c r="Q84" s="43" t="s">
        <v>18</v>
      </c>
      <c r="R84" s="43" t="s">
        <v>18</v>
      </c>
      <c r="S84" s="42" t="s">
        <v>21</v>
      </c>
      <c r="T84" s="43" t="s">
        <v>18</v>
      </c>
      <c r="U84" s="43" t="s">
        <v>18</v>
      </c>
      <c r="V84" s="37" t="s">
        <v>22</v>
      </c>
      <c r="W84" s="37" t="s">
        <v>22</v>
      </c>
      <c r="X84" s="42" t="s">
        <v>21</v>
      </c>
      <c r="Y84" s="42" t="s">
        <v>21</v>
      </c>
      <c r="Z84" s="42" t="s">
        <v>21</v>
      </c>
      <c r="AA84" s="43" t="s">
        <v>18</v>
      </c>
      <c r="AB84" s="43" t="s">
        <v>18</v>
      </c>
      <c r="AC84" s="37" t="s">
        <v>22</v>
      </c>
      <c r="AD84" s="37" t="s">
        <v>22</v>
      </c>
      <c r="AE84" s="42" t="s">
        <v>21</v>
      </c>
      <c r="AF84" s="42" t="s">
        <v>21</v>
      </c>
      <c r="AG84" s="37" t="s">
        <v>22</v>
      </c>
      <c r="AH84" s="43" t="s">
        <v>18</v>
      </c>
      <c r="AI84" s="43" t="s">
        <v>18</v>
      </c>
      <c r="AJ84" s="37"/>
      <c r="AL84" s="11">
        <f t="shared" si="15"/>
        <v>0</v>
      </c>
      <c r="AM84" s="11">
        <f t="shared" ref="AM84:AM101" si="20">COUNTIF($F67:$AJ67,"M*")</f>
        <v>6</v>
      </c>
      <c r="AN84" s="11">
        <f t="shared" ref="AN84:AN101" si="21">COUNTIF($F67:$AJ67,"A*")</f>
        <v>8</v>
      </c>
      <c r="AO84" s="11">
        <f t="shared" ref="AO84:AO101" si="22">COUNTIF($F67:$AJ67,"N*")</f>
        <v>6</v>
      </c>
      <c r="AP84" s="11">
        <f t="shared" ref="AP84:AP101" si="23">COUNTIF($F67:$AJ67,"O*")</f>
        <v>10</v>
      </c>
    </row>
    <row r="85" spans="2:42" x14ac:dyDescent="0.25">
      <c r="F85" s="2" t="s">
        <v>14</v>
      </c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L85" s="11">
        <f t="shared" ref="AL85:AL101" si="24">COUNTIF($F68:$AJ68,"ST*")</f>
        <v>0</v>
      </c>
      <c r="AM85" s="11">
        <f t="shared" si="20"/>
        <v>6</v>
      </c>
      <c r="AN85" s="11">
        <f t="shared" si="21"/>
        <v>7</v>
      </c>
      <c r="AO85" s="11">
        <f t="shared" si="22"/>
        <v>6</v>
      </c>
      <c r="AP85" s="11">
        <f t="shared" si="23"/>
        <v>11</v>
      </c>
    </row>
    <row r="86" spans="2:42" ht="18.75" x14ac:dyDescent="0.3">
      <c r="C86" s="64" t="s">
        <v>106</v>
      </c>
      <c r="D86" s="64"/>
      <c r="E86" s="17"/>
      <c r="F86" s="10">
        <f t="shared" ref="F86:AJ86" si="25">COUNTIF(F9:F84,"M*")</f>
        <v>18</v>
      </c>
      <c r="G86" s="10">
        <f t="shared" si="25"/>
        <v>17</v>
      </c>
      <c r="H86" s="10">
        <f t="shared" si="25"/>
        <v>15</v>
      </c>
      <c r="I86" s="10">
        <f t="shared" si="25"/>
        <v>18</v>
      </c>
      <c r="J86" s="10">
        <f t="shared" si="25"/>
        <v>15</v>
      </c>
      <c r="K86" s="10">
        <f t="shared" si="25"/>
        <v>17</v>
      </c>
      <c r="L86" s="10">
        <f t="shared" si="25"/>
        <v>17</v>
      </c>
      <c r="M86" s="10">
        <f t="shared" si="25"/>
        <v>17</v>
      </c>
      <c r="N86" s="10">
        <f t="shared" si="25"/>
        <v>18</v>
      </c>
      <c r="O86" s="10">
        <f t="shared" si="25"/>
        <v>18</v>
      </c>
      <c r="P86" s="10">
        <f t="shared" si="25"/>
        <v>15</v>
      </c>
      <c r="Q86" s="10">
        <f t="shared" si="25"/>
        <v>16</v>
      </c>
      <c r="R86" s="10">
        <f t="shared" si="25"/>
        <v>15</v>
      </c>
      <c r="S86" s="10">
        <f t="shared" si="25"/>
        <v>17</v>
      </c>
      <c r="T86" s="10">
        <f t="shared" si="25"/>
        <v>16</v>
      </c>
      <c r="U86" s="10">
        <f t="shared" si="25"/>
        <v>16</v>
      </c>
      <c r="V86" s="10">
        <f t="shared" si="25"/>
        <v>16</v>
      </c>
      <c r="W86" s="10">
        <f t="shared" si="25"/>
        <v>14</v>
      </c>
      <c r="X86" s="10">
        <f t="shared" si="25"/>
        <v>16</v>
      </c>
      <c r="Y86" s="10">
        <f t="shared" si="25"/>
        <v>15</v>
      </c>
      <c r="Z86" s="10">
        <f t="shared" si="25"/>
        <v>19</v>
      </c>
      <c r="AA86" s="10">
        <f t="shared" si="25"/>
        <v>16</v>
      </c>
      <c r="AB86" s="10">
        <f t="shared" si="25"/>
        <v>17</v>
      </c>
      <c r="AC86" s="10">
        <f t="shared" si="25"/>
        <v>19</v>
      </c>
      <c r="AD86" s="10">
        <f t="shared" si="25"/>
        <v>17</v>
      </c>
      <c r="AE86" s="10">
        <f t="shared" si="25"/>
        <v>17</v>
      </c>
      <c r="AF86" s="10">
        <f t="shared" si="25"/>
        <v>16</v>
      </c>
      <c r="AG86" s="10">
        <f t="shared" si="25"/>
        <v>19</v>
      </c>
      <c r="AH86" s="10">
        <f t="shared" si="25"/>
        <v>15</v>
      </c>
      <c r="AI86" s="10">
        <f t="shared" si="25"/>
        <v>18</v>
      </c>
      <c r="AJ86" s="10">
        <f t="shared" si="25"/>
        <v>0</v>
      </c>
      <c r="AL86" s="11">
        <f t="shared" si="24"/>
        <v>0</v>
      </c>
      <c r="AM86" s="11">
        <f t="shared" si="20"/>
        <v>5</v>
      </c>
      <c r="AN86" s="11">
        <f t="shared" si="21"/>
        <v>5</v>
      </c>
      <c r="AO86" s="11">
        <f t="shared" si="22"/>
        <v>8</v>
      </c>
      <c r="AP86" s="11">
        <f t="shared" si="23"/>
        <v>12</v>
      </c>
    </row>
    <row r="87" spans="2:42" ht="18.75" x14ac:dyDescent="0.3">
      <c r="C87" s="64" t="s">
        <v>107</v>
      </c>
      <c r="D87" s="64"/>
      <c r="E87" s="17"/>
      <c r="F87" s="10">
        <f t="shared" ref="F87:AJ87" si="26">COUNTIF(F9:F84,"A*")</f>
        <v>17</v>
      </c>
      <c r="G87" s="10">
        <f t="shared" si="26"/>
        <v>16</v>
      </c>
      <c r="H87" s="10">
        <f t="shared" si="26"/>
        <v>16</v>
      </c>
      <c r="I87" s="10">
        <f t="shared" si="26"/>
        <v>15</v>
      </c>
      <c r="J87" s="10">
        <f t="shared" si="26"/>
        <v>16</v>
      </c>
      <c r="K87" s="10">
        <f t="shared" si="26"/>
        <v>14</v>
      </c>
      <c r="L87" s="10">
        <f t="shared" si="26"/>
        <v>16</v>
      </c>
      <c r="M87" s="10">
        <f t="shared" si="26"/>
        <v>17</v>
      </c>
      <c r="N87" s="10">
        <f t="shared" si="26"/>
        <v>16</v>
      </c>
      <c r="O87" s="10">
        <f t="shared" si="26"/>
        <v>15</v>
      </c>
      <c r="P87" s="10">
        <f t="shared" si="26"/>
        <v>18</v>
      </c>
      <c r="Q87" s="10">
        <f t="shared" si="26"/>
        <v>16</v>
      </c>
      <c r="R87" s="10">
        <f t="shared" si="26"/>
        <v>16</v>
      </c>
      <c r="S87" s="10">
        <f t="shared" si="26"/>
        <v>16</v>
      </c>
      <c r="T87" s="10">
        <f t="shared" si="26"/>
        <v>14</v>
      </c>
      <c r="U87" s="10">
        <f t="shared" si="26"/>
        <v>14</v>
      </c>
      <c r="V87" s="10">
        <f t="shared" si="26"/>
        <v>17</v>
      </c>
      <c r="W87" s="10">
        <f t="shared" si="26"/>
        <v>19</v>
      </c>
      <c r="X87" s="10">
        <f t="shared" si="26"/>
        <v>15</v>
      </c>
      <c r="Y87" s="10">
        <f t="shared" si="26"/>
        <v>14</v>
      </c>
      <c r="Z87" s="10">
        <f t="shared" si="26"/>
        <v>15</v>
      </c>
      <c r="AA87" s="10">
        <f t="shared" si="26"/>
        <v>14</v>
      </c>
      <c r="AB87" s="10">
        <f t="shared" si="26"/>
        <v>14</v>
      </c>
      <c r="AC87" s="10">
        <f t="shared" si="26"/>
        <v>15</v>
      </c>
      <c r="AD87" s="10">
        <f t="shared" si="26"/>
        <v>17</v>
      </c>
      <c r="AE87" s="10">
        <f t="shared" si="26"/>
        <v>16</v>
      </c>
      <c r="AF87" s="10">
        <f t="shared" si="26"/>
        <v>16</v>
      </c>
      <c r="AG87" s="10">
        <f t="shared" si="26"/>
        <v>15</v>
      </c>
      <c r="AH87" s="10">
        <f t="shared" si="26"/>
        <v>16</v>
      </c>
      <c r="AI87" s="10">
        <f t="shared" si="26"/>
        <v>14</v>
      </c>
      <c r="AJ87" s="10">
        <f t="shared" si="26"/>
        <v>0</v>
      </c>
      <c r="AL87" s="11">
        <f t="shared" si="24"/>
        <v>0</v>
      </c>
      <c r="AM87" s="11">
        <f t="shared" si="20"/>
        <v>7</v>
      </c>
      <c r="AN87" s="11">
        <f t="shared" si="21"/>
        <v>4</v>
      </c>
      <c r="AO87" s="11">
        <f t="shared" si="22"/>
        <v>7</v>
      </c>
      <c r="AP87" s="11">
        <f t="shared" si="23"/>
        <v>12</v>
      </c>
    </row>
    <row r="88" spans="2:42" ht="18.75" x14ac:dyDescent="0.3">
      <c r="C88" s="64" t="s">
        <v>108</v>
      </c>
      <c r="D88" s="64"/>
      <c r="E88" s="17"/>
      <c r="F88" s="10">
        <f t="shared" ref="F88:AJ88" si="27">COUNTIF(F9:F84,"N*")</f>
        <v>14</v>
      </c>
      <c r="G88" s="10">
        <f t="shared" si="27"/>
        <v>15</v>
      </c>
      <c r="H88" s="10">
        <f t="shared" si="27"/>
        <v>15</v>
      </c>
      <c r="I88" s="10">
        <f t="shared" si="27"/>
        <v>15</v>
      </c>
      <c r="J88" s="10">
        <f t="shared" si="27"/>
        <v>17</v>
      </c>
      <c r="K88" s="10">
        <f t="shared" si="27"/>
        <v>16</v>
      </c>
      <c r="L88" s="10">
        <f t="shared" si="27"/>
        <v>15</v>
      </c>
      <c r="M88" s="10">
        <f t="shared" si="27"/>
        <v>16</v>
      </c>
      <c r="N88" s="10">
        <f t="shared" si="27"/>
        <v>14</v>
      </c>
      <c r="O88" s="10">
        <f t="shared" si="27"/>
        <v>15</v>
      </c>
      <c r="P88" s="10">
        <f t="shared" si="27"/>
        <v>15</v>
      </c>
      <c r="Q88" s="10">
        <f t="shared" si="27"/>
        <v>15</v>
      </c>
      <c r="R88" s="10">
        <f t="shared" si="27"/>
        <v>17</v>
      </c>
      <c r="S88" s="10">
        <f t="shared" si="27"/>
        <v>16</v>
      </c>
      <c r="T88" s="10">
        <f t="shared" si="27"/>
        <v>15</v>
      </c>
      <c r="U88" s="10">
        <f t="shared" si="27"/>
        <v>16</v>
      </c>
      <c r="V88" s="10">
        <f t="shared" si="27"/>
        <v>15</v>
      </c>
      <c r="W88" s="10">
        <f t="shared" si="27"/>
        <v>16</v>
      </c>
      <c r="X88" s="10">
        <f t="shared" si="27"/>
        <v>15</v>
      </c>
      <c r="Y88" s="10">
        <f t="shared" si="27"/>
        <v>18</v>
      </c>
      <c r="Z88" s="10">
        <f t="shared" si="27"/>
        <v>16</v>
      </c>
      <c r="AA88" s="10">
        <f t="shared" si="27"/>
        <v>17</v>
      </c>
      <c r="AB88" s="10">
        <f t="shared" si="27"/>
        <v>15</v>
      </c>
      <c r="AC88" s="10">
        <f t="shared" si="27"/>
        <v>16</v>
      </c>
      <c r="AD88" s="10">
        <f t="shared" si="27"/>
        <v>14</v>
      </c>
      <c r="AE88" s="10">
        <f t="shared" si="27"/>
        <v>15</v>
      </c>
      <c r="AF88" s="10">
        <f t="shared" si="27"/>
        <v>15</v>
      </c>
      <c r="AG88" s="10">
        <f t="shared" si="27"/>
        <v>15</v>
      </c>
      <c r="AH88" s="10">
        <f t="shared" si="27"/>
        <v>17</v>
      </c>
      <c r="AI88" s="10">
        <f t="shared" si="27"/>
        <v>15</v>
      </c>
      <c r="AJ88" s="10">
        <f t="shared" si="27"/>
        <v>0</v>
      </c>
      <c r="AL88" s="11">
        <f t="shared" si="24"/>
        <v>0</v>
      </c>
      <c r="AM88" s="11">
        <f t="shared" si="20"/>
        <v>7</v>
      </c>
      <c r="AN88" s="11">
        <f t="shared" si="21"/>
        <v>3</v>
      </c>
      <c r="AO88" s="11">
        <f t="shared" si="22"/>
        <v>8</v>
      </c>
      <c r="AP88" s="11">
        <f t="shared" si="23"/>
        <v>12</v>
      </c>
    </row>
    <row r="89" spans="2:42" ht="18.75" x14ac:dyDescent="0.3">
      <c r="C89" s="64" t="s">
        <v>109</v>
      </c>
      <c r="D89" s="64"/>
      <c r="E89" s="17"/>
      <c r="F89" s="10">
        <f t="shared" ref="F89:AJ89" si="28">COUNTIF(F$30:F$84,"O*")</f>
        <v>19</v>
      </c>
      <c r="G89" s="10">
        <f t="shared" si="28"/>
        <v>21</v>
      </c>
      <c r="H89" s="10">
        <f t="shared" si="28"/>
        <v>21</v>
      </c>
      <c r="I89" s="10">
        <f t="shared" si="28"/>
        <v>19</v>
      </c>
      <c r="J89" s="10">
        <f t="shared" si="28"/>
        <v>20</v>
      </c>
      <c r="K89" s="10">
        <f t="shared" si="28"/>
        <v>21</v>
      </c>
      <c r="L89" s="10">
        <f t="shared" si="28"/>
        <v>20</v>
      </c>
      <c r="M89" s="10">
        <f t="shared" si="28"/>
        <v>20</v>
      </c>
      <c r="N89" s="10">
        <f t="shared" si="28"/>
        <v>21</v>
      </c>
      <c r="O89" s="10">
        <f t="shared" si="28"/>
        <v>20</v>
      </c>
      <c r="P89" s="10">
        <f t="shared" si="28"/>
        <v>19</v>
      </c>
      <c r="Q89" s="10">
        <f t="shared" si="28"/>
        <v>21</v>
      </c>
      <c r="R89" s="10">
        <f t="shared" si="28"/>
        <v>20</v>
      </c>
      <c r="S89" s="10">
        <f t="shared" si="28"/>
        <v>19</v>
      </c>
      <c r="T89" s="10">
        <f t="shared" si="28"/>
        <v>23</v>
      </c>
      <c r="U89" s="10">
        <f t="shared" si="28"/>
        <v>24</v>
      </c>
      <c r="V89" s="10">
        <f t="shared" si="28"/>
        <v>20</v>
      </c>
      <c r="W89" s="10">
        <f t="shared" si="28"/>
        <v>19</v>
      </c>
      <c r="X89" s="10">
        <f t="shared" si="28"/>
        <v>22</v>
      </c>
      <c r="Y89" s="10">
        <f t="shared" si="28"/>
        <v>21</v>
      </c>
      <c r="Z89" s="10">
        <f t="shared" si="28"/>
        <v>18</v>
      </c>
      <c r="AA89" s="10">
        <f t="shared" si="28"/>
        <v>21</v>
      </c>
      <c r="AB89" s="10">
        <f t="shared" si="28"/>
        <v>22</v>
      </c>
      <c r="AC89" s="10">
        <f t="shared" si="28"/>
        <v>19</v>
      </c>
      <c r="AD89" s="10">
        <f t="shared" si="28"/>
        <v>19</v>
      </c>
      <c r="AE89" s="10">
        <f t="shared" si="28"/>
        <v>21</v>
      </c>
      <c r="AF89" s="10">
        <f t="shared" si="28"/>
        <v>21</v>
      </c>
      <c r="AG89" s="10">
        <f t="shared" si="28"/>
        <v>19</v>
      </c>
      <c r="AH89" s="10">
        <f t="shared" si="28"/>
        <v>20</v>
      </c>
      <c r="AI89" s="10">
        <f t="shared" si="28"/>
        <v>21</v>
      </c>
      <c r="AJ89" s="10">
        <f t="shared" si="28"/>
        <v>0</v>
      </c>
      <c r="AL89" s="11">
        <f t="shared" si="24"/>
        <v>0</v>
      </c>
      <c r="AM89" s="11">
        <f t="shared" si="20"/>
        <v>4</v>
      </c>
      <c r="AN89" s="11">
        <f t="shared" si="21"/>
        <v>6</v>
      </c>
      <c r="AO89" s="11">
        <f t="shared" si="22"/>
        <v>8</v>
      </c>
      <c r="AP89" s="11">
        <f t="shared" si="23"/>
        <v>12</v>
      </c>
    </row>
    <row r="90" spans="2:42" ht="18.75" x14ac:dyDescent="0.3">
      <c r="C90" s="76" t="s">
        <v>110</v>
      </c>
      <c r="D90" s="77"/>
      <c r="E90" s="17"/>
      <c r="F90" s="10">
        <f t="shared" ref="F90:AJ90" si="29">COUNTIF(F9:F84,"TR*")</f>
        <v>0</v>
      </c>
      <c r="G90" s="10">
        <f t="shared" si="29"/>
        <v>0</v>
      </c>
      <c r="H90" s="10">
        <f t="shared" si="29"/>
        <v>0</v>
      </c>
      <c r="I90" s="10">
        <f t="shared" si="29"/>
        <v>0</v>
      </c>
      <c r="J90" s="10">
        <f t="shared" si="29"/>
        <v>0</v>
      </c>
      <c r="K90" s="10">
        <f t="shared" si="29"/>
        <v>0</v>
      </c>
      <c r="L90" s="10">
        <f t="shared" si="29"/>
        <v>0</v>
      </c>
      <c r="M90" s="10">
        <f t="shared" si="29"/>
        <v>0</v>
      </c>
      <c r="N90" s="10">
        <f t="shared" si="29"/>
        <v>0</v>
      </c>
      <c r="O90" s="10">
        <f t="shared" si="29"/>
        <v>0</v>
      </c>
      <c r="P90" s="10">
        <f t="shared" si="29"/>
        <v>0</v>
      </c>
      <c r="Q90" s="10">
        <f t="shared" si="29"/>
        <v>0</v>
      </c>
      <c r="R90" s="10">
        <f t="shared" si="29"/>
        <v>0</v>
      </c>
      <c r="S90" s="10">
        <f t="shared" si="29"/>
        <v>0</v>
      </c>
      <c r="T90" s="10">
        <f t="shared" si="29"/>
        <v>0</v>
      </c>
      <c r="U90" s="10">
        <f t="shared" si="29"/>
        <v>0</v>
      </c>
      <c r="V90" s="10">
        <f t="shared" si="29"/>
        <v>0</v>
      </c>
      <c r="W90" s="10">
        <f t="shared" si="29"/>
        <v>0</v>
      </c>
      <c r="X90" s="10">
        <f t="shared" si="29"/>
        <v>0</v>
      </c>
      <c r="Y90" s="10">
        <f t="shared" si="29"/>
        <v>0</v>
      </c>
      <c r="Z90" s="10">
        <f t="shared" si="29"/>
        <v>0</v>
      </c>
      <c r="AA90" s="10">
        <f t="shared" si="29"/>
        <v>0</v>
      </c>
      <c r="AB90" s="10">
        <f t="shared" si="29"/>
        <v>0</v>
      </c>
      <c r="AC90" s="10">
        <f t="shared" si="29"/>
        <v>0</v>
      </c>
      <c r="AD90" s="10">
        <f t="shared" si="29"/>
        <v>0</v>
      </c>
      <c r="AE90" s="10">
        <f t="shared" si="29"/>
        <v>0</v>
      </c>
      <c r="AF90" s="10">
        <f t="shared" si="29"/>
        <v>0</v>
      </c>
      <c r="AG90" s="10">
        <f t="shared" si="29"/>
        <v>0</v>
      </c>
      <c r="AH90" s="10">
        <f t="shared" si="29"/>
        <v>0</v>
      </c>
      <c r="AI90" s="10">
        <f t="shared" si="29"/>
        <v>0</v>
      </c>
      <c r="AJ90" s="10">
        <f t="shared" si="29"/>
        <v>0</v>
      </c>
      <c r="AL90" s="11">
        <f t="shared" si="24"/>
        <v>0</v>
      </c>
      <c r="AM90" s="11">
        <f t="shared" si="20"/>
        <v>7</v>
      </c>
      <c r="AN90" s="11">
        <f t="shared" si="21"/>
        <v>8</v>
      </c>
      <c r="AO90" s="11">
        <f t="shared" si="22"/>
        <v>4</v>
      </c>
      <c r="AP90" s="11">
        <f t="shared" si="23"/>
        <v>11</v>
      </c>
    </row>
    <row r="91" spans="2:42" ht="18.75" x14ac:dyDescent="0.3">
      <c r="C91" s="76" t="s">
        <v>111</v>
      </c>
      <c r="D91" s="77"/>
      <c r="E91" s="17"/>
      <c r="F91" s="10">
        <f>COUNTIF(F9:F84,"ST*")</f>
        <v>1</v>
      </c>
      <c r="G91" s="10">
        <f t="shared" ref="G91:AJ91" si="30">COUNTIF(G$30:G$64,"ST*")</f>
        <v>0</v>
      </c>
      <c r="H91" s="10">
        <f t="shared" si="30"/>
        <v>0</v>
      </c>
      <c r="I91" s="10">
        <f t="shared" si="30"/>
        <v>0</v>
      </c>
      <c r="J91" s="10">
        <f t="shared" si="30"/>
        <v>0</v>
      </c>
      <c r="K91" s="10">
        <f t="shared" si="30"/>
        <v>0</v>
      </c>
      <c r="L91" s="10">
        <f t="shared" si="30"/>
        <v>0</v>
      </c>
      <c r="M91" s="10">
        <f t="shared" si="30"/>
        <v>0</v>
      </c>
      <c r="N91" s="10">
        <f t="shared" si="30"/>
        <v>0</v>
      </c>
      <c r="O91" s="10">
        <f t="shared" si="30"/>
        <v>0</v>
      </c>
      <c r="P91" s="10">
        <f t="shared" si="30"/>
        <v>0</v>
      </c>
      <c r="Q91" s="10">
        <f t="shared" si="30"/>
        <v>0</v>
      </c>
      <c r="R91" s="10">
        <f t="shared" si="30"/>
        <v>0</v>
      </c>
      <c r="S91" s="10">
        <f t="shared" si="30"/>
        <v>0</v>
      </c>
      <c r="T91" s="10">
        <f t="shared" si="30"/>
        <v>0</v>
      </c>
      <c r="U91" s="10">
        <f t="shared" si="30"/>
        <v>0</v>
      </c>
      <c r="V91" s="10">
        <f t="shared" si="30"/>
        <v>0</v>
      </c>
      <c r="W91" s="10">
        <f t="shared" si="30"/>
        <v>0</v>
      </c>
      <c r="X91" s="10">
        <f t="shared" si="30"/>
        <v>0</v>
      </c>
      <c r="Y91" s="10">
        <f t="shared" si="30"/>
        <v>0</v>
      </c>
      <c r="Z91" s="10">
        <f t="shared" si="30"/>
        <v>0</v>
      </c>
      <c r="AA91" s="10">
        <f t="shared" si="30"/>
        <v>0</v>
      </c>
      <c r="AB91" s="10">
        <f t="shared" si="30"/>
        <v>0</v>
      </c>
      <c r="AC91" s="10">
        <f t="shared" si="30"/>
        <v>0</v>
      </c>
      <c r="AD91" s="10">
        <f t="shared" si="30"/>
        <v>1</v>
      </c>
      <c r="AE91" s="10">
        <f t="shared" si="30"/>
        <v>0</v>
      </c>
      <c r="AF91" s="10">
        <f t="shared" si="30"/>
        <v>0</v>
      </c>
      <c r="AG91" s="10">
        <f t="shared" si="30"/>
        <v>0</v>
      </c>
      <c r="AH91" s="10">
        <f t="shared" si="30"/>
        <v>0</v>
      </c>
      <c r="AI91" s="10">
        <f t="shared" si="30"/>
        <v>0</v>
      </c>
      <c r="AJ91" s="10">
        <f t="shared" si="30"/>
        <v>0</v>
      </c>
      <c r="AL91" s="11">
        <f t="shared" si="24"/>
        <v>0</v>
      </c>
      <c r="AM91" s="11">
        <f t="shared" si="20"/>
        <v>5</v>
      </c>
      <c r="AN91" s="11">
        <f t="shared" si="21"/>
        <v>8</v>
      </c>
      <c r="AO91" s="11">
        <f t="shared" si="22"/>
        <v>7</v>
      </c>
      <c r="AP91" s="11">
        <f t="shared" si="23"/>
        <v>10</v>
      </c>
    </row>
    <row r="92" spans="2:42" ht="18.75" x14ac:dyDescent="0.3">
      <c r="C92" s="78" t="s">
        <v>112</v>
      </c>
      <c r="D92" s="78"/>
      <c r="E92" s="18"/>
      <c r="F92" s="19">
        <f>F94-F95</f>
        <v>4</v>
      </c>
      <c r="G92" s="19">
        <f t="shared" ref="G92:AJ92" si="31">G94-G95</f>
        <v>3</v>
      </c>
      <c r="H92" s="19">
        <f t="shared" si="31"/>
        <v>1</v>
      </c>
      <c r="I92" s="19">
        <f t="shared" si="31"/>
        <v>3</v>
      </c>
      <c r="J92" s="19">
        <f t="shared" si="31"/>
        <v>3</v>
      </c>
      <c r="K92" s="19">
        <f t="shared" si="31"/>
        <v>2</v>
      </c>
      <c r="L92" s="19">
        <f t="shared" si="31"/>
        <v>3</v>
      </c>
      <c r="M92" s="19">
        <f t="shared" si="31"/>
        <v>5</v>
      </c>
      <c r="N92" s="19">
        <f t="shared" si="31"/>
        <v>3</v>
      </c>
      <c r="O92" s="19">
        <f t="shared" si="31"/>
        <v>3</v>
      </c>
      <c r="P92" s="19">
        <f t="shared" si="31"/>
        <v>3</v>
      </c>
      <c r="Q92" s="19">
        <f t="shared" si="31"/>
        <v>2</v>
      </c>
      <c r="R92" s="19">
        <f t="shared" si="31"/>
        <v>3</v>
      </c>
      <c r="S92" s="19">
        <f t="shared" si="31"/>
        <v>4</v>
      </c>
      <c r="T92" s="19">
        <f t="shared" si="31"/>
        <v>0</v>
      </c>
      <c r="U92" s="19">
        <f t="shared" si="31"/>
        <v>1</v>
      </c>
      <c r="V92" s="19">
        <f t="shared" si="31"/>
        <v>3</v>
      </c>
      <c r="W92" s="19">
        <f t="shared" si="31"/>
        <v>4</v>
      </c>
      <c r="X92" s="19">
        <f t="shared" si="31"/>
        <v>1</v>
      </c>
      <c r="Y92" s="19">
        <f t="shared" si="31"/>
        <v>2</v>
      </c>
      <c r="Z92" s="19">
        <f t="shared" si="31"/>
        <v>5</v>
      </c>
      <c r="AA92" s="19">
        <f t="shared" si="31"/>
        <v>2</v>
      </c>
      <c r="AB92" s="19">
        <f t="shared" si="31"/>
        <v>1</v>
      </c>
      <c r="AC92" s="19">
        <f t="shared" si="31"/>
        <v>5</v>
      </c>
      <c r="AD92" s="19">
        <f t="shared" si="31"/>
        <v>3</v>
      </c>
      <c r="AE92" s="19">
        <f t="shared" si="31"/>
        <v>3</v>
      </c>
      <c r="AF92" s="19">
        <f t="shared" si="31"/>
        <v>2</v>
      </c>
      <c r="AG92" s="19">
        <f t="shared" si="31"/>
        <v>4</v>
      </c>
      <c r="AH92" s="19">
        <f t="shared" si="31"/>
        <v>3</v>
      </c>
      <c r="AI92" s="19">
        <f t="shared" si="31"/>
        <v>2</v>
      </c>
      <c r="AJ92" s="19">
        <f t="shared" si="31"/>
        <v>-27</v>
      </c>
      <c r="AL92" s="11">
        <f t="shared" si="24"/>
        <v>0</v>
      </c>
      <c r="AM92" s="11">
        <f t="shared" si="20"/>
        <v>6</v>
      </c>
      <c r="AN92" s="11">
        <f t="shared" si="21"/>
        <v>8</v>
      </c>
      <c r="AO92" s="11">
        <f t="shared" si="22"/>
        <v>6</v>
      </c>
      <c r="AP92" s="11">
        <f t="shared" si="23"/>
        <v>10</v>
      </c>
    </row>
    <row r="93" spans="2:42" ht="18.75" x14ac:dyDescent="0.3">
      <c r="C93" s="20"/>
      <c r="D93" s="20"/>
      <c r="E93" s="17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  <c r="AA93" s="79"/>
      <c r="AB93" s="79"/>
      <c r="AC93" s="79"/>
      <c r="AD93" s="79"/>
      <c r="AE93" s="79"/>
      <c r="AF93" s="79"/>
      <c r="AG93" s="79"/>
      <c r="AH93" s="79"/>
      <c r="AI93" s="79"/>
      <c r="AJ93" s="79"/>
      <c r="AL93" s="11">
        <f t="shared" si="24"/>
        <v>0</v>
      </c>
      <c r="AM93" s="11">
        <f t="shared" si="20"/>
        <v>7</v>
      </c>
      <c r="AN93" s="11">
        <f t="shared" si="21"/>
        <v>5</v>
      </c>
      <c r="AO93" s="11">
        <f t="shared" si="22"/>
        <v>7</v>
      </c>
      <c r="AP93" s="11">
        <f t="shared" si="23"/>
        <v>11</v>
      </c>
    </row>
    <row r="94" spans="2:42" ht="18.75" x14ac:dyDescent="0.3">
      <c r="C94" s="64" t="s">
        <v>113</v>
      </c>
      <c r="D94" s="64"/>
      <c r="E94" s="17"/>
      <c r="F94" s="14">
        <f>SUM(F86:F88)</f>
        <v>49</v>
      </c>
      <c r="G94" s="14">
        <f t="shared" ref="G94:AI94" si="32">SUM(G86:G88)</f>
        <v>48</v>
      </c>
      <c r="H94" s="14">
        <f t="shared" si="32"/>
        <v>46</v>
      </c>
      <c r="I94" s="14">
        <f t="shared" si="32"/>
        <v>48</v>
      </c>
      <c r="J94" s="14">
        <f t="shared" si="32"/>
        <v>48</v>
      </c>
      <c r="K94" s="14">
        <f t="shared" si="32"/>
        <v>47</v>
      </c>
      <c r="L94" s="14">
        <f t="shared" si="32"/>
        <v>48</v>
      </c>
      <c r="M94" s="14">
        <f t="shared" si="32"/>
        <v>50</v>
      </c>
      <c r="N94" s="14">
        <f t="shared" si="32"/>
        <v>48</v>
      </c>
      <c r="O94" s="14">
        <f t="shared" si="32"/>
        <v>48</v>
      </c>
      <c r="P94" s="14">
        <f t="shared" si="32"/>
        <v>48</v>
      </c>
      <c r="Q94" s="14">
        <f t="shared" si="32"/>
        <v>47</v>
      </c>
      <c r="R94" s="14">
        <f t="shared" si="32"/>
        <v>48</v>
      </c>
      <c r="S94" s="14">
        <f t="shared" si="32"/>
        <v>49</v>
      </c>
      <c r="T94" s="14">
        <f t="shared" si="32"/>
        <v>45</v>
      </c>
      <c r="U94" s="14">
        <f t="shared" si="32"/>
        <v>46</v>
      </c>
      <c r="V94" s="14">
        <f t="shared" si="32"/>
        <v>48</v>
      </c>
      <c r="W94" s="14">
        <f t="shared" si="32"/>
        <v>49</v>
      </c>
      <c r="X94" s="14">
        <f t="shared" si="32"/>
        <v>46</v>
      </c>
      <c r="Y94" s="14">
        <f t="shared" si="32"/>
        <v>47</v>
      </c>
      <c r="Z94" s="14">
        <f t="shared" si="32"/>
        <v>50</v>
      </c>
      <c r="AA94" s="14">
        <f t="shared" si="32"/>
        <v>47</v>
      </c>
      <c r="AB94" s="14">
        <f t="shared" si="32"/>
        <v>46</v>
      </c>
      <c r="AC94" s="14">
        <f t="shared" si="32"/>
        <v>50</v>
      </c>
      <c r="AD94" s="14">
        <f t="shared" si="32"/>
        <v>48</v>
      </c>
      <c r="AE94" s="14">
        <f t="shared" si="32"/>
        <v>48</v>
      </c>
      <c r="AF94" s="14">
        <f t="shared" si="32"/>
        <v>47</v>
      </c>
      <c r="AG94" s="14">
        <f t="shared" si="32"/>
        <v>49</v>
      </c>
      <c r="AH94" s="14">
        <f t="shared" si="32"/>
        <v>48</v>
      </c>
      <c r="AI94" s="14">
        <f t="shared" si="32"/>
        <v>47</v>
      </c>
      <c r="AJ94" s="14">
        <v>18</v>
      </c>
      <c r="AL94" s="11">
        <f t="shared" si="24"/>
        <v>0</v>
      </c>
      <c r="AM94" s="11">
        <f t="shared" si="20"/>
        <v>5</v>
      </c>
      <c r="AN94" s="11">
        <f t="shared" si="21"/>
        <v>8</v>
      </c>
      <c r="AO94" s="11">
        <f t="shared" si="22"/>
        <v>5</v>
      </c>
      <c r="AP94" s="11">
        <f t="shared" si="23"/>
        <v>12</v>
      </c>
    </row>
    <row r="95" spans="2:42" ht="18.75" x14ac:dyDescent="0.3">
      <c r="C95" s="64" t="s">
        <v>114</v>
      </c>
      <c r="D95" s="64"/>
      <c r="E95" s="17"/>
      <c r="F95" s="10">
        <v>45</v>
      </c>
      <c r="G95" s="10">
        <v>45</v>
      </c>
      <c r="H95" s="10">
        <v>45</v>
      </c>
      <c r="I95" s="10">
        <v>45</v>
      </c>
      <c r="J95" s="10">
        <v>45</v>
      </c>
      <c r="K95" s="10">
        <v>45</v>
      </c>
      <c r="L95" s="10">
        <v>45</v>
      </c>
      <c r="M95" s="10">
        <v>45</v>
      </c>
      <c r="N95" s="10">
        <v>45</v>
      </c>
      <c r="O95" s="10">
        <v>45</v>
      </c>
      <c r="P95" s="10">
        <v>45</v>
      </c>
      <c r="Q95" s="10">
        <v>45</v>
      </c>
      <c r="R95" s="10">
        <v>45</v>
      </c>
      <c r="S95" s="10">
        <v>45</v>
      </c>
      <c r="T95" s="10">
        <v>45</v>
      </c>
      <c r="U95" s="10">
        <v>45</v>
      </c>
      <c r="V95" s="10">
        <v>45</v>
      </c>
      <c r="W95" s="10">
        <v>45</v>
      </c>
      <c r="X95" s="10">
        <v>45</v>
      </c>
      <c r="Y95" s="10">
        <v>45</v>
      </c>
      <c r="Z95" s="10">
        <v>45</v>
      </c>
      <c r="AA95" s="10">
        <v>45</v>
      </c>
      <c r="AB95" s="10">
        <v>45</v>
      </c>
      <c r="AC95" s="10">
        <v>45</v>
      </c>
      <c r="AD95" s="10">
        <v>45</v>
      </c>
      <c r="AE95" s="10">
        <v>45</v>
      </c>
      <c r="AF95" s="10">
        <v>45</v>
      </c>
      <c r="AG95" s="10">
        <v>45</v>
      </c>
      <c r="AH95" s="10">
        <v>45</v>
      </c>
      <c r="AI95" s="10">
        <v>45</v>
      </c>
      <c r="AJ95" s="10">
        <v>45</v>
      </c>
      <c r="AL95" s="11">
        <f t="shared" si="24"/>
        <v>0</v>
      </c>
      <c r="AM95" s="11">
        <f t="shared" si="20"/>
        <v>4</v>
      </c>
      <c r="AN95" s="11">
        <f t="shared" si="21"/>
        <v>8</v>
      </c>
      <c r="AO95" s="11">
        <f t="shared" si="22"/>
        <v>6</v>
      </c>
      <c r="AP95" s="11">
        <f t="shared" si="23"/>
        <v>12</v>
      </c>
    </row>
    <row r="96" spans="2:42" ht="18.75" x14ac:dyDescent="0.3">
      <c r="C96" s="64" t="s">
        <v>115</v>
      </c>
      <c r="D96" s="64"/>
      <c r="E96" s="17"/>
      <c r="F96" s="10">
        <f>SUM(F86,F87,F88,F89,F91)</f>
        <v>69</v>
      </c>
      <c r="G96" s="10">
        <f t="shared" ref="G96:AI96" si="33">SUM(G86,G87,G88,G89,G91)</f>
        <v>69</v>
      </c>
      <c r="H96" s="10">
        <f t="shared" si="33"/>
        <v>67</v>
      </c>
      <c r="I96" s="10">
        <f t="shared" si="33"/>
        <v>67</v>
      </c>
      <c r="J96" s="10">
        <f t="shared" si="33"/>
        <v>68</v>
      </c>
      <c r="K96" s="10">
        <f t="shared" si="33"/>
        <v>68</v>
      </c>
      <c r="L96" s="10">
        <f t="shared" si="33"/>
        <v>68</v>
      </c>
      <c r="M96" s="10">
        <f t="shared" si="33"/>
        <v>70</v>
      </c>
      <c r="N96" s="10">
        <f t="shared" si="33"/>
        <v>69</v>
      </c>
      <c r="O96" s="10">
        <f t="shared" si="33"/>
        <v>68</v>
      </c>
      <c r="P96" s="10">
        <f t="shared" si="33"/>
        <v>67</v>
      </c>
      <c r="Q96" s="10">
        <f t="shared" si="33"/>
        <v>68</v>
      </c>
      <c r="R96" s="10">
        <f t="shared" si="33"/>
        <v>68</v>
      </c>
      <c r="S96" s="10">
        <f t="shared" si="33"/>
        <v>68</v>
      </c>
      <c r="T96" s="10">
        <f t="shared" si="33"/>
        <v>68</v>
      </c>
      <c r="U96" s="10">
        <f t="shared" si="33"/>
        <v>70</v>
      </c>
      <c r="V96" s="10">
        <f t="shared" si="33"/>
        <v>68</v>
      </c>
      <c r="W96" s="10">
        <f t="shared" si="33"/>
        <v>68</v>
      </c>
      <c r="X96" s="10">
        <f t="shared" si="33"/>
        <v>68</v>
      </c>
      <c r="Y96" s="10">
        <f t="shared" si="33"/>
        <v>68</v>
      </c>
      <c r="Z96" s="10">
        <f t="shared" si="33"/>
        <v>68</v>
      </c>
      <c r="AA96" s="10">
        <f t="shared" si="33"/>
        <v>68</v>
      </c>
      <c r="AB96" s="10">
        <f t="shared" si="33"/>
        <v>68</v>
      </c>
      <c r="AC96" s="10">
        <f t="shared" si="33"/>
        <v>69</v>
      </c>
      <c r="AD96" s="10">
        <f t="shared" si="33"/>
        <v>68</v>
      </c>
      <c r="AE96" s="10">
        <f t="shared" si="33"/>
        <v>69</v>
      </c>
      <c r="AF96" s="10">
        <f t="shared" si="33"/>
        <v>68</v>
      </c>
      <c r="AG96" s="10">
        <f t="shared" si="33"/>
        <v>68</v>
      </c>
      <c r="AH96" s="10">
        <f t="shared" si="33"/>
        <v>68</v>
      </c>
      <c r="AI96" s="10">
        <f t="shared" si="33"/>
        <v>68</v>
      </c>
      <c r="AJ96" s="10">
        <v>35</v>
      </c>
      <c r="AL96" s="11">
        <f t="shared" si="24"/>
        <v>0</v>
      </c>
      <c r="AM96" s="11">
        <f t="shared" si="20"/>
        <v>5</v>
      </c>
      <c r="AN96" s="11">
        <f t="shared" si="21"/>
        <v>7</v>
      </c>
      <c r="AO96" s="11">
        <f t="shared" si="22"/>
        <v>6</v>
      </c>
      <c r="AP96" s="11">
        <f t="shared" si="23"/>
        <v>12</v>
      </c>
    </row>
    <row r="97" spans="6:42" ht="16.5" thickBot="1" x14ac:dyDescent="0.3">
      <c r="AL97" s="11">
        <f t="shared" si="24"/>
        <v>0</v>
      </c>
      <c r="AM97" s="11">
        <f t="shared" si="20"/>
        <v>8</v>
      </c>
      <c r="AN97" s="11">
        <f t="shared" si="21"/>
        <v>5</v>
      </c>
      <c r="AO97" s="11">
        <f t="shared" si="22"/>
        <v>5</v>
      </c>
      <c r="AP97" s="11">
        <f t="shared" si="23"/>
        <v>12</v>
      </c>
    </row>
    <row r="98" spans="6:42" ht="16.5" thickBot="1" x14ac:dyDescent="0.3">
      <c r="F98" s="65" t="s">
        <v>116</v>
      </c>
      <c r="G98" s="66"/>
      <c r="H98" s="66"/>
      <c r="I98" s="66"/>
      <c r="J98" s="66"/>
      <c r="K98" s="67"/>
      <c r="AL98" s="11">
        <f t="shared" si="24"/>
        <v>0</v>
      </c>
      <c r="AM98" s="11">
        <f t="shared" si="20"/>
        <v>8</v>
      </c>
      <c r="AN98" s="11">
        <f t="shared" si="21"/>
        <v>6</v>
      </c>
      <c r="AO98" s="11">
        <f t="shared" si="22"/>
        <v>5</v>
      </c>
      <c r="AP98" s="11">
        <f t="shared" si="23"/>
        <v>11</v>
      </c>
    </row>
    <row r="99" spans="6:42" x14ac:dyDescent="0.25">
      <c r="F99" s="21" t="s">
        <v>117</v>
      </c>
      <c r="G99" s="68" t="s">
        <v>118</v>
      </c>
      <c r="H99" s="69"/>
      <c r="I99" s="22" t="s">
        <v>21</v>
      </c>
      <c r="J99" s="70" t="s">
        <v>119</v>
      </c>
      <c r="K99" s="71"/>
      <c r="AL99" s="11">
        <f t="shared" si="24"/>
        <v>0</v>
      </c>
      <c r="AM99" s="11">
        <f t="shared" si="20"/>
        <v>8</v>
      </c>
      <c r="AN99" s="11">
        <f t="shared" si="21"/>
        <v>7</v>
      </c>
      <c r="AO99" s="11">
        <f t="shared" si="22"/>
        <v>5</v>
      </c>
      <c r="AP99" s="11">
        <f t="shared" si="23"/>
        <v>10</v>
      </c>
    </row>
    <row r="100" spans="6:42" x14ac:dyDescent="0.25">
      <c r="F100" s="23" t="s">
        <v>120</v>
      </c>
      <c r="G100" s="72" t="s">
        <v>21</v>
      </c>
      <c r="H100" s="73"/>
      <c r="I100" s="22" t="s">
        <v>32</v>
      </c>
      <c r="J100" s="74" t="s">
        <v>121</v>
      </c>
      <c r="K100" s="75"/>
      <c r="AL100" s="11">
        <f t="shared" si="24"/>
        <v>0</v>
      </c>
      <c r="AM100" s="11">
        <f t="shared" si="20"/>
        <v>10</v>
      </c>
      <c r="AN100" s="11">
        <f t="shared" si="21"/>
        <v>10</v>
      </c>
      <c r="AO100" s="11">
        <f t="shared" si="22"/>
        <v>0</v>
      </c>
      <c r="AP100" s="11">
        <f t="shared" si="23"/>
        <v>10</v>
      </c>
    </row>
    <row r="101" spans="6:42" x14ac:dyDescent="0.25">
      <c r="F101" s="24" t="s">
        <v>122</v>
      </c>
      <c r="G101" s="52" t="s">
        <v>22</v>
      </c>
      <c r="H101" s="53"/>
      <c r="I101" s="25" t="s">
        <v>123</v>
      </c>
      <c r="J101" s="54" t="s">
        <v>124</v>
      </c>
      <c r="K101" s="55"/>
      <c r="AL101" s="11">
        <f t="shared" si="24"/>
        <v>0</v>
      </c>
      <c r="AM101" s="11">
        <f t="shared" si="20"/>
        <v>10</v>
      </c>
      <c r="AN101" s="11">
        <f t="shared" si="21"/>
        <v>10</v>
      </c>
      <c r="AO101" s="11">
        <f t="shared" si="22"/>
        <v>0</v>
      </c>
      <c r="AP101" s="11">
        <f t="shared" si="23"/>
        <v>10</v>
      </c>
    </row>
    <row r="102" spans="6:42" x14ac:dyDescent="0.25">
      <c r="F102" s="26" t="s">
        <v>125</v>
      </c>
      <c r="G102" s="56" t="s">
        <v>126</v>
      </c>
      <c r="H102" s="57"/>
      <c r="I102" s="27" t="s">
        <v>24</v>
      </c>
      <c r="J102" s="58" t="s">
        <v>127</v>
      </c>
      <c r="K102" s="59"/>
    </row>
    <row r="103" spans="6:42" x14ac:dyDescent="0.25">
      <c r="F103" s="28" t="s">
        <v>128</v>
      </c>
      <c r="G103" s="60" t="s">
        <v>129</v>
      </c>
      <c r="H103" s="61"/>
      <c r="I103" s="11" t="s">
        <v>33</v>
      </c>
      <c r="J103" s="62" t="s">
        <v>130</v>
      </c>
      <c r="K103" s="63"/>
    </row>
    <row r="104" spans="6:42" x14ac:dyDescent="0.25">
      <c r="F104" s="29"/>
      <c r="G104" s="45" t="s">
        <v>131</v>
      </c>
      <c r="H104" s="46"/>
      <c r="I104" s="30" t="s">
        <v>49</v>
      </c>
      <c r="J104" s="47" t="s">
        <v>132</v>
      </c>
      <c r="K104" s="48"/>
    </row>
    <row r="105" spans="6:42" ht="16.5" thickBot="1" x14ac:dyDescent="0.3">
      <c r="F105" s="31" t="s">
        <v>133</v>
      </c>
      <c r="G105" s="49" t="s">
        <v>134</v>
      </c>
      <c r="H105" s="50"/>
      <c r="I105" s="32" t="s">
        <v>87</v>
      </c>
      <c r="J105" s="49" t="s">
        <v>135</v>
      </c>
      <c r="K105" s="51"/>
    </row>
    <row r="110" spans="6:42" ht="9.75" customHeight="1" x14ac:dyDescent="0.25"/>
  </sheetData>
  <mergeCells count="112">
    <mergeCell ref="F2:AJ2"/>
    <mergeCell ref="AL2:AL4"/>
    <mergeCell ref="AM2:AM4"/>
    <mergeCell ref="AN2:AN4"/>
    <mergeCell ref="AO2:AO4"/>
    <mergeCell ref="AP2:AP4"/>
    <mergeCell ref="C10:D10"/>
    <mergeCell ref="C11:D11"/>
    <mergeCell ref="C12:D12"/>
    <mergeCell ref="C13:D13"/>
    <mergeCell ref="C14:D14"/>
    <mergeCell ref="C15:D15"/>
    <mergeCell ref="B3:D4"/>
    <mergeCell ref="C5:D5"/>
    <mergeCell ref="C6:D6"/>
    <mergeCell ref="C7:D7"/>
    <mergeCell ref="C8:D8"/>
    <mergeCell ref="C9:D9"/>
    <mergeCell ref="C22:D22"/>
    <mergeCell ref="C23:D23"/>
    <mergeCell ref="C24:D24"/>
    <mergeCell ref="C25:D25"/>
    <mergeCell ref="C26:D26"/>
    <mergeCell ref="C27:D27"/>
    <mergeCell ref="C16:D16"/>
    <mergeCell ref="C17:D17"/>
    <mergeCell ref="C18:D18"/>
    <mergeCell ref="C19:D19"/>
    <mergeCell ref="C20:D20"/>
    <mergeCell ref="C21:D21"/>
    <mergeCell ref="C34:D34"/>
    <mergeCell ref="C35:D35"/>
    <mergeCell ref="C36:D36"/>
    <mergeCell ref="C37:D37"/>
    <mergeCell ref="C38:D38"/>
    <mergeCell ref="C39:D39"/>
    <mergeCell ref="C28:D28"/>
    <mergeCell ref="C29:D29"/>
    <mergeCell ref="C30:D30"/>
    <mergeCell ref="C31:D31"/>
    <mergeCell ref="C32:D32"/>
    <mergeCell ref="C33:D33"/>
    <mergeCell ref="C46:D46"/>
    <mergeCell ref="C47:D47"/>
    <mergeCell ref="C48:D48"/>
    <mergeCell ref="C49:D49"/>
    <mergeCell ref="C50:D50"/>
    <mergeCell ref="C51:D51"/>
    <mergeCell ref="C40:D40"/>
    <mergeCell ref="C41:D41"/>
    <mergeCell ref="C42:D42"/>
    <mergeCell ref="C43:D43"/>
    <mergeCell ref="C44:D44"/>
    <mergeCell ref="C45:D45"/>
    <mergeCell ref="C58:D58"/>
    <mergeCell ref="C59:D59"/>
    <mergeCell ref="C60:D60"/>
    <mergeCell ref="C61:D61"/>
    <mergeCell ref="C62:D62"/>
    <mergeCell ref="C63:D63"/>
    <mergeCell ref="C52:D52"/>
    <mergeCell ref="C53:D53"/>
    <mergeCell ref="C54:D54"/>
    <mergeCell ref="C55:D55"/>
    <mergeCell ref="C56:D56"/>
    <mergeCell ref="C57:D57"/>
    <mergeCell ref="C70:D70"/>
    <mergeCell ref="C71:D71"/>
    <mergeCell ref="C72:D72"/>
    <mergeCell ref="C73:D73"/>
    <mergeCell ref="C74:D74"/>
    <mergeCell ref="C75:D75"/>
    <mergeCell ref="C64:D64"/>
    <mergeCell ref="C65:D65"/>
    <mergeCell ref="C66:D66"/>
    <mergeCell ref="C67:D67"/>
    <mergeCell ref="C68:D68"/>
    <mergeCell ref="C69:D69"/>
    <mergeCell ref="C82:D82"/>
    <mergeCell ref="C84:D84"/>
    <mergeCell ref="C86:D86"/>
    <mergeCell ref="C87:D87"/>
    <mergeCell ref="C88:D88"/>
    <mergeCell ref="C89:D89"/>
    <mergeCell ref="C76:D76"/>
    <mergeCell ref="C77:D77"/>
    <mergeCell ref="C78:D78"/>
    <mergeCell ref="C79:D79"/>
    <mergeCell ref="C80:D80"/>
    <mergeCell ref="C81:D81"/>
    <mergeCell ref="C96:D96"/>
    <mergeCell ref="F98:K98"/>
    <mergeCell ref="G99:H99"/>
    <mergeCell ref="J99:K99"/>
    <mergeCell ref="G100:H100"/>
    <mergeCell ref="J100:K100"/>
    <mergeCell ref="C90:D90"/>
    <mergeCell ref="C91:D91"/>
    <mergeCell ref="C92:D92"/>
    <mergeCell ref="F93:AJ93"/>
    <mergeCell ref="C94:D94"/>
    <mergeCell ref="C95:D95"/>
    <mergeCell ref="G104:H104"/>
    <mergeCell ref="J104:K104"/>
    <mergeCell ref="G105:H105"/>
    <mergeCell ref="J105:K105"/>
    <mergeCell ref="G101:H101"/>
    <mergeCell ref="J101:K101"/>
    <mergeCell ref="G102:H102"/>
    <mergeCell ref="J102:K102"/>
    <mergeCell ref="G103:H103"/>
    <mergeCell ref="J103:K103"/>
  </mergeCells>
  <phoneticPr fontId="15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56ceee3-7fed-44e8-a399-cd4111988137}" enabled="0" method="" siteId="{456ceee3-7fed-44e8-a399-cd41119881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Oman Air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C Magcaling</dc:creator>
  <cp:lastModifiedBy>Rodolfo C Magcaling</cp:lastModifiedBy>
  <dcterms:created xsi:type="dcterms:W3CDTF">2025-12-02T10:06:18Z</dcterms:created>
  <dcterms:modified xsi:type="dcterms:W3CDTF">2026-03-02T07:06:32Z</dcterms:modified>
</cp:coreProperties>
</file>