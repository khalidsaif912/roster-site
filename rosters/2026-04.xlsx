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OPS/04 Apr/"/>
    </mc:Choice>
  </mc:AlternateContent>
  <xr:revisionPtr revIDLastSave="170" documentId="8_{12C2C5B9-1C5F-47C8-AAD1-0D50C2E06284}" xr6:coauthVersionLast="47" xr6:coauthVersionMax="47" xr10:uidLastSave="{A46259D9-0694-44C4-80CD-D91957A212B2}"/>
  <bookViews>
    <workbookView xWindow="-120" yWindow="-120" windowWidth="29040" windowHeight="15720" firstSheet="2" activeTab="2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JD'!$F$4:$AJ$90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L10" i="21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P80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O80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N80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M80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82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8" i="25" l="1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F89" i="25"/>
  <c r="F88" i="25"/>
  <c r="F86" i="25"/>
  <c r="F85" i="25"/>
  <c r="F84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9" i="25"/>
  <c r="AO99" i="25"/>
  <c r="AN99" i="25"/>
  <c r="AM99" i="25"/>
  <c r="AL99" i="25"/>
  <c r="AP98" i="25"/>
  <c r="AO98" i="25"/>
  <c r="AN98" i="25"/>
  <c r="AM98" i="25"/>
  <c r="AL98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P81" i="25"/>
  <c r="AO81" i="25"/>
  <c r="AN81" i="25"/>
  <c r="AM81" i="25"/>
  <c r="AP63" i="25" l="1"/>
  <c r="AO63" i="25"/>
  <c r="AN63" i="25"/>
  <c r="AM63" i="25"/>
  <c r="AL63" i="25"/>
  <c r="AJ90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2" i="25" l="1"/>
  <c r="H90" i="25" s="1"/>
  <c r="V92" i="25"/>
  <c r="V90" i="25" s="1"/>
  <c r="K94" i="25"/>
  <c r="Y94" i="25"/>
  <c r="Z94" i="25"/>
  <c r="AA94" i="25"/>
  <c r="M94" i="25"/>
  <c r="L94" i="25"/>
  <c r="N94" i="25"/>
  <c r="AB94" i="25"/>
  <c r="O94" i="25"/>
  <c r="AC94" i="25"/>
  <c r="I94" i="25"/>
  <c r="W94" i="25"/>
  <c r="F94" i="25"/>
  <c r="T94" i="25"/>
  <c r="AH94" i="25"/>
  <c r="P94" i="25"/>
  <c r="AD94" i="25"/>
  <c r="M92" i="25"/>
  <c r="M90" i="25" s="1"/>
  <c r="AA92" i="25"/>
  <c r="AA90" i="25" s="1"/>
  <c r="J94" i="25"/>
  <c r="X94" i="25"/>
  <c r="G94" i="25"/>
  <c r="U94" i="25"/>
  <c r="AI94" i="25"/>
  <c r="Q94" i="25"/>
  <c r="AE94" i="25"/>
  <c r="N92" i="25"/>
  <c r="N90" i="25" s="1"/>
  <c r="AB92" i="25"/>
  <c r="AB90" i="25" s="1"/>
  <c r="H94" i="25"/>
  <c r="V94" i="25"/>
  <c r="R94" i="25"/>
  <c r="AF94" i="25"/>
  <c r="S94" i="25"/>
  <c r="AG94" i="25"/>
  <c r="F92" i="25"/>
  <c r="F90" i="25" s="1"/>
  <c r="T92" i="25"/>
  <c r="T90" i="25" s="1"/>
  <c r="AH92" i="25"/>
  <c r="AH90" i="25" s="1"/>
  <c r="G92" i="25"/>
  <c r="G90" i="25" s="1"/>
  <c r="U92" i="25"/>
  <c r="U90" i="25" s="1"/>
  <c r="AI92" i="25"/>
  <c r="AI90" i="25" s="1"/>
  <c r="I92" i="25"/>
  <c r="I90" i="25" s="1"/>
  <c r="W92" i="25"/>
  <c r="W90" i="25" s="1"/>
  <c r="J92" i="25"/>
  <c r="J90" i="25" s="1"/>
  <c r="X92" i="25"/>
  <c r="X90" i="25" s="1"/>
  <c r="K92" i="25"/>
  <c r="K90" i="25" s="1"/>
  <c r="Y92" i="25"/>
  <c r="Y90" i="25" s="1"/>
  <c r="L92" i="25"/>
  <c r="L90" i="25" s="1"/>
  <c r="Z92" i="25"/>
  <c r="Z90" i="25" s="1"/>
  <c r="O92" i="25"/>
  <c r="O90" i="25" s="1"/>
  <c r="AC92" i="25"/>
  <c r="AC90" i="25" s="1"/>
  <c r="P92" i="25"/>
  <c r="P90" i="25" s="1"/>
  <c r="AD92" i="25"/>
  <c r="AD90" i="25" s="1"/>
  <c r="Q92" i="25"/>
  <c r="Q90" i="25" s="1"/>
  <c r="AE92" i="25"/>
  <c r="AE90" i="25" s="1"/>
  <c r="R92" i="25"/>
  <c r="R90" i="25" s="1"/>
  <c r="AF92" i="25"/>
  <c r="AF90" i="25" s="1"/>
  <c r="S92" i="25"/>
  <c r="S90" i="25" s="1"/>
  <c r="AG92" i="25"/>
  <c r="AG90" i="25" s="1"/>
  <c r="W40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2" i="23" l="1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W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G41" i="23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F42" i="23"/>
  <c r="F41" i="23"/>
  <c r="F40" i="23"/>
  <c r="AJ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8" i="23" l="1"/>
  <c r="X46" i="23" s="1"/>
  <c r="J48" i="23"/>
  <c r="J46" i="23" s="1"/>
  <c r="H50" i="23"/>
  <c r="V50" i="23"/>
  <c r="R50" i="23"/>
  <c r="AF50" i="23"/>
  <c r="O50" i="23"/>
  <c r="AC50" i="23"/>
  <c r="L50" i="23"/>
  <c r="Z50" i="23"/>
  <c r="W50" i="23"/>
  <c r="S50" i="23"/>
  <c r="AG50" i="23"/>
  <c r="M50" i="23"/>
  <c r="AA50" i="23"/>
  <c r="X50" i="23"/>
  <c r="F50" i="23"/>
  <c r="T50" i="23"/>
  <c r="AH50" i="23"/>
  <c r="G50" i="23"/>
  <c r="U50" i="23"/>
  <c r="AI50" i="23"/>
  <c r="H48" i="23"/>
  <c r="H46" i="23" s="1"/>
  <c r="V48" i="23"/>
  <c r="V46" i="23" s="1"/>
  <c r="I48" i="23"/>
  <c r="I46" i="23" s="1"/>
  <c r="W48" i="23"/>
  <c r="W46" i="23" s="1"/>
  <c r="I50" i="23"/>
  <c r="J50" i="23"/>
  <c r="Q50" i="23"/>
  <c r="Q48" i="23"/>
  <c r="Q46" i="23" s="1"/>
  <c r="AE50" i="23"/>
  <c r="AE48" i="23"/>
  <c r="AE46" i="23" s="1"/>
  <c r="N50" i="23"/>
  <c r="N48" i="23"/>
  <c r="N46" i="23" s="1"/>
  <c r="AB50" i="23"/>
  <c r="AB48" i="23"/>
  <c r="AB46" i="23" s="1"/>
  <c r="K48" i="23"/>
  <c r="K46" i="23" s="1"/>
  <c r="K50" i="23"/>
  <c r="Y50" i="23"/>
  <c r="Y48" i="23"/>
  <c r="Y46" i="23" s="1"/>
  <c r="P50" i="23"/>
  <c r="AD50" i="23"/>
  <c r="L48" i="23"/>
  <c r="L46" i="23" s="1"/>
  <c r="Z48" i="23"/>
  <c r="Z46" i="23" s="1"/>
  <c r="M48" i="23"/>
  <c r="M46" i="23" s="1"/>
  <c r="AA48" i="23"/>
  <c r="AA46" i="23" s="1"/>
  <c r="O48" i="23"/>
  <c r="O46" i="23" s="1"/>
  <c r="AC48" i="23"/>
  <c r="AC46" i="23" s="1"/>
  <c r="P48" i="23"/>
  <c r="P46" i="23" s="1"/>
  <c r="AD48" i="23"/>
  <c r="AD46" i="23" s="1"/>
  <c r="R48" i="23"/>
  <c r="R46" i="23" s="1"/>
  <c r="AF48" i="23"/>
  <c r="AF46" i="23" s="1"/>
  <c r="S48" i="23"/>
  <c r="S46" i="23" s="1"/>
  <c r="AG48" i="23"/>
  <c r="AG46" i="23" s="1"/>
  <c r="F48" i="23"/>
  <c r="F46" i="23" s="1"/>
  <c r="T48" i="23"/>
  <c r="T46" i="23" s="1"/>
  <c r="AH48" i="23"/>
  <c r="AH46" i="23" s="1"/>
  <c r="G48" i="23"/>
  <c r="G46" i="23" s="1"/>
  <c r="U48" i="23"/>
  <c r="U46" i="23" s="1"/>
  <c r="AI48" i="23"/>
  <c r="AI46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AH17" i="13"/>
  <c r="AH24" i="13" s="1"/>
  <c r="AG17" i="13"/>
  <c r="AG24" i="13" s="1"/>
  <c r="AF17" i="13"/>
  <c r="AF24" i="13" s="1"/>
  <c r="AE17" i="13"/>
  <c r="AE24" i="13" s="1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R24" i="13" s="1"/>
  <c r="Q17" i="13"/>
  <c r="P17" i="13"/>
  <c r="O17" i="13"/>
  <c r="N17" i="13"/>
  <c r="M17" i="13"/>
  <c r="L17" i="13"/>
  <c r="K17" i="13"/>
  <c r="J17" i="13"/>
  <c r="I17" i="13"/>
  <c r="H17" i="13"/>
  <c r="G17" i="13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C24" i="13" l="1"/>
  <c r="AC22" i="13" s="1"/>
  <c r="L24" i="13"/>
  <c r="L22" i="13" s="1"/>
  <c r="J24" i="13"/>
  <c r="J22" i="13" s="1"/>
  <c r="P24" i="13"/>
  <c r="P22" i="13" s="1"/>
  <c r="AD24" i="13"/>
  <c r="G24" i="13"/>
  <c r="G22" i="13" s="1"/>
  <c r="U24" i="13"/>
  <c r="U22" i="13" s="1"/>
  <c r="H24" i="13"/>
  <c r="H22" i="13" s="1"/>
  <c r="V24" i="13"/>
  <c r="V22" i="13" s="1"/>
  <c r="M24" i="13"/>
  <c r="M22" i="13" s="1"/>
  <c r="AA24" i="13"/>
  <c r="K24" i="13"/>
  <c r="K22" i="13" s="1"/>
  <c r="I24" i="13"/>
  <c r="I22" i="13" s="1"/>
  <c r="N24" i="13"/>
  <c r="N22" i="13" s="1"/>
  <c r="AB24" i="13"/>
  <c r="O24" i="13"/>
  <c r="O22" i="13" s="1"/>
  <c r="AA33" i="9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W22" i="13" s="1"/>
  <c r="AA22" i="13"/>
  <c r="S22" i="13"/>
  <c r="T22" i="13"/>
  <c r="AF22" i="13"/>
  <c r="AB22" i="13"/>
  <c r="E22" i="13"/>
  <c r="AE22" i="13"/>
  <c r="F22" i="13"/>
  <c r="AD22" i="13"/>
  <c r="AG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N34" i="2"/>
  <c r="N28" i="2"/>
  <c r="N20" i="2"/>
  <c r="O7" i="2"/>
  <c r="N6" i="2"/>
  <c r="O22" i="2" l="1"/>
  <c r="O24" i="2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O34" i="2"/>
  <c r="O10" i="2"/>
  <c r="O29" i="2"/>
  <c r="O18" i="2"/>
  <c r="P7" i="2"/>
  <c r="O6" i="2"/>
  <c r="P29" i="2" l="1"/>
  <c r="P28" i="2"/>
  <c r="P18" i="2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Q14" i="2"/>
  <c r="Q26" i="2"/>
  <c r="Q28" i="2"/>
  <c r="R7" i="2"/>
  <c r="Q6" i="2"/>
  <c r="R34" i="2" l="1"/>
  <c r="R28" i="2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S18" i="2"/>
  <c r="S35" i="2"/>
  <c r="S24" i="2"/>
  <c r="S19" i="2"/>
  <c r="S13" i="2"/>
  <c r="T7" i="2"/>
  <c r="S6" i="2"/>
  <c r="T32" i="2" l="1"/>
  <c r="T19" i="2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U10" i="2"/>
  <c r="U16" i="2"/>
  <c r="U11" i="2"/>
  <c r="U33" i="2"/>
  <c r="U21" i="2"/>
  <c r="V7" i="2"/>
  <c r="U6" i="2"/>
  <c r="V20" i="2" l="1"/>
  <c r="V21" i="2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V30" i="2"/>
  <c r="V37" i="2"/>
  <c r="W7" i="2"/>
  <c r="V6" i="2"/>
  <c r="W10" i="2" l="1"/>
  <c r="W15" i="2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L28" i="2" l="1"/>
  <c r="AK28" i="2"/>
  <c r="AN28" i="2"/>
  <c r="AN13" i="2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6" authorId="0" shapeId="0" xr:uid="{928A3D04-1B58-474A-85A6-010D4E5FE99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AE7" authorId="0" shapeId="0" xr:uid="{989B5CC8-197E-46DD-BDF4-BE05E7B798C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8" authorId="0" shapeId="0" xr:uid="{3FF4472D-23E2-4380-A253-C540876648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M12" authorId="0" shapeId="0" xr:uid="{798185D5-92B3-406C-AAF6-4E5983DCD37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15" authorId="0" shapeId="0" xr:uid="{09F0800F-723F-42E7-A23A-8A8E371A935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M18" authorId="0" shapeId="0" xr:uid="{C63BE999-4F13-44DA-876E-66488737A3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19" authorId="0" shapeId="0" xr:uid="{5CAA7CA9-422B-466D-AF57-3F64AE1B97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21" authorId="0" shapeId="0" xr:uid="{C2F6EBD9-992F-4806-9E9C-C8958AD2CC2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21" authorId="0" shapeId="0" xr:uid="{CBB5A4E5-F6AC-42C0-BFF4-7A5F07F9F8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F26" authorId="0" shapeId="0" xr:uid="{7DEBFFCA-66DE-47F8-8765-C2C56DD2120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L27" authorId="0" shapeId="0" xr:uid="{3A6BA164-E44F-401C-9A7E-844380144AA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29" authorId="0" shapeId="0" xr:uid="{30F8AD50-FD98-4A02-A0D9-58575CB926B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F32" authorId="0" shapeId="0" xr:uid="{6E7E0F2E-0F41-420E-844E-D705F3330D1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F34" authorId="0" shapeId="0" xr:uid="{1426146E-D338-4FAE-AD5C-2A704CADFF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0" authorId="0" shapeId="0" xr:uid="{5A2C0578-A1F9-4D1A-A651-C1A39C9095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46" authorId="0" shapeId="0" xr:uid="{0C3DE1E5-D85D-468C-81B2-23531C4F55D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46" authorId="0" shapeId="0" xr:uid="{F3996B74-DC8D-4712-9713-97A80B9621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R47" authorId="0" shapeId="0" xr:uid="{D244EFAB-ADB2-4856-A21E-0F2519349AD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52" authorId="0" shapeId="0" xr:uid="{DBE61CAA-A894-454B-B9AE-DF5C6875FE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Y55" authorId="0" shapeId="0" xr:uid="{69DF2C31-F71E-4362-929F-D92A7F463C0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57" authorId="0" shapeId="0" xr:uid="{72384AB4-B27D-45C6-A634-482623FFB5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E58" authorId="0" shapeId="0" xr:uid="{0D51AA7A-78EC-47DE-B711-A9DE8705897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62" authorId="0" shapeId="0" xr:uid="{E7AE15D4-55C9-4485-B7B9-6AE4569B31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Y65" authorId="0" shapeId="0" xr:uid="{8FAC30D0-E2EC-4DD2-9B9E-03E3B870438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X66" authorId="0" shapeId="0" xr:uid="{F3ACD855-8C48-4B33-9423-46DA7B9AB4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R69" authorId="0" shapeId="0" xr:uid="{1B71E91A-E7F2-4BDA-9E5D-E444E22FDCF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69" authorId="0" shapeId="0" xr:uid="{DF9FEE7A-435A-4A24-968A-65F1A550430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Q71" authorId="0" shapeId="0" xr:uid="{EDCC2C38-887E-4A6A-B16E-896DB1DE07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74" authorId="0" shapeId="0" xr:uid="{4F74E614-7643-42DB-8F48-2485CBE7FB2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 </t>
        </r>
      </text>
    </comment>
    <comment ref="Q80" authorId="0" shapeId="0" xr:uid="{DA5FA7D6-97B6-420C-8F36-1AF44FB649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80" authorId="0" shapeId="0" xr:uid="{287E3349-962B-49EA-A1D8-A7C4BD5A9E0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N6" authorId="0" shapeId="0" xr:uid="{ED7C4C11-AF16-4E0E-A060-F9AE8B08608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  <comment ref="AE7" authorId="0" shapeId="0" xr:uid="{C2AD5500-EC19-436D-BC78-387CC47B23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8" authorId="0" shapeId="0" xr:uid="{076E38E0-4E80-46C3-9CD4-20825F57A8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8" authorId="0" shapeId="0" xr:uid="{6EE249CA-9288-4DD1-84DF-9B67771701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E5" authorId="0" shapeId="0" xr:uid="{860BEFF8-48D3-4884-ABEB-C98FEAFF073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M8" authorId="0" shapeId="0" xr:uid="{40CB65AB-4938-4BAD-AF07-B3A877C8D7B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K9" authorId="0" shapeId="0" xr:uid="{5D4706AB-ADF0-410C-9FC7-5CAE36422A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T11" authorId="0" shapeId="0" xr:uid="{AD8341D5-F40F-4DFB-999B-8940EE8CB5F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U11" authorId="0" shapeId="0" xr:uid="{59DB4341-3135-4896-A7DA-475B43E5C88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F16" authorId="0" shapeId="0" xr:uid="{662179AB-EC31-4682-9736-E3C58CBF4C4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L17" authorId="0" shapeId="0" xr:uid="{2E8284EE-346B-4A74-8058-96593C15DC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19" authorId="0" shapeId="0" xr:uid="{3A53F593-C04B-43E9-83CA-49ACD45DEB9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F7" authorId="0" shapeId="0" xr:uid="{A6B3C3D7-755F-429C-9F28-6344FC2F36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F9" authorId="0" shapeId="0" xr:uid="{49F90C18-DCA5-4FA3-B4A6-A9AA9D24354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5" authorId="0" shapeId="0" xr:uid="{35ED1053-7371-4930-9C6A-A73B033974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21" authorId="0" shapeId="0" xr:uid="{16DA3BDE-FED5-4D76-88F1-12E757EEC98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E21" authorId="0" shapeId="0" xr:uid="{0CBFE3A3-93F2-4DB3-96A3-15AD51E681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R22" authorId="0" shapeId="0" xr:uid="{E87A99B0-074F-4734-BB03-B30179F1CE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E27" authorId="0" shapeId="0" xr:uid="{AD959A6C-5057-47A7-9267-E2011A0579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Y30" authorId="0" shapeId="0" xr:uid="{F59A24B3-CB4E-4F27-ACB3-CB81D097751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L32" authorId="0" shapeId="0" xr:uid="{FBF8F0CC-1E0C-494C-A204-0E2ADCE065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E33" authorId="0" shapeId="0" xr:uid="{029A585A-B101-430A-972D-D91197B6452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N37" authorId="0" shapeId="0" xr:uid="{D01649F4-1A9B-4778-B1E0-555C97116D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Specialist SMS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Y6" authorId="0" shapeId="0" xr:uid="{3A4CCA58-D681-4138-B7BF-0728D8664BE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X7" authorId="0" shapeId="0" xr:uid="{C09CF078-8B8E-4298-A968-0C60ED4F5F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R10" authorId="0" shapeId="0" xr:uid="{4588F380-4C4F-4878-94A1-123197E8659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Z10" authorId="0" shapeId="0" xr:uid="{27ED96BD-5259-4200-84D9-73AAC7B1F93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  <comment ref="Q12" authorId="0" shapeId="0" xr:uid="{37775001-3C8C-45E2-B6AC-681A441B55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15" authorId="0" shapeId="0" xr:uid="{5EAD38E6-EBDD-48FD-8A99-3F5E3E60B50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 </t>
        </r>
      </text>
    </comment>
    <comment ref="Q21" authorId="0" shapeId="0" xr:uid="{B4A7C6AA-07EA-4028-89C9-CCF1D68C9B1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X21" authorId="0" shapeId="0" xr:uid="{C73E01B7-6437-4CE2-957E-567EAFB87B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</t>
        </r>
      </text>
    </comment>
  </commentList>
</comments>
</file>

<file path=xl/sharedStrings.xml><?xml version="1.0" encoding="utf-8"?>
<sst xmlns="http://schemas.openxmlformats.org/spreadsheetml/2006/main" count="5837" uniqueCount="241">
  <si>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</si>
  <si>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</si>
  <si>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</si>
  <si>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</si>
  <si>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</si>
  <si>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</si>
  <si>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</si>
  <si>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</si>
  <si>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</si>
  <si>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</si>
  <si>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</si>
  <si>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</si>
  <si>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</si>
  <si>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</si>
  <si>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</si>
  <si>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</si>
  <si>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</si>
  <si>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</si>
  <si>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</si>
  <si>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</si>
  <si>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</si>
  <si>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</si>
  <si>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</si>
  <si>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</si>
  <si>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</si>
  <si>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</si>
  <si>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</si>
  <si>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</si>
  <si>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</si>
  <si>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</si>
  <si>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</si>
  <si>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</si>
  <si>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</si>
  <si>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</si>
  <si>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</si>
  <si>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</si>
  <si>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</si>
  <si>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</si>
  <si>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</si>
  <si>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</si>
  <si>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</si>
  <si>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</si>
  <si>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</si>
  <si>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</si>
  <si>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</si>
  <si>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</si>
  <si>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</si>
  <si>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</si>
  <si>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</si>
  <si>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</si>
  <si>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</si>
  <si>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</si>
  <si>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</si>
  <si>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</si>
  <si>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</si>
  <si>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</si>
  <si>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</si>
  <si>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</si>
  <si>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</si>
  <si>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</si>
  <si>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</si>
  <si>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</si>
  <si>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</si>
  <si>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</si>
  <si>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</si>
  <si>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</si>
  <si>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</si>
  <si>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</si>
  <si>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</si>
  <si>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</si>
  <si>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</si>
  <si>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</si>
  <si>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</si>
  <si>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</si>
  <si>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</si>
  <si>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</si>
  <si>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</si>
  <si>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</si>
  <si>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</si>
  <si>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</si>
  <si>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</si>
  <si>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</si>
  <si>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</si>
  <si>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</si>
  <si>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</si>
  <si>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</si>
  <si>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</si>
  <si>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</si>
  <si>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</si>
  <si>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</si>
  <si>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</si>
  <si>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</si>
  <si>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</si>
  <si>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</si>
  <si>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</si>
  <si>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</si>
  <si>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</si>
  <si>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</si>
  <si>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</si>
  <si>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</si>
  <si>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</si>
  <si>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</si>
  <si>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</si>
  <si>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</si>
  <si>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</si>
  <si>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</si>
  <si>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</si>
  <si>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</si>
  <si>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</si>
  <si>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</si>
  <si>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</si>
  <si>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</si>
  <si>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</si>
  <si>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</si>
  <si>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</si>
  <si>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</si>
  <si>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</si>
  <si>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</si>
  <si>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</si>
  <si>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</si>
  <si>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</si>
  <si>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</si>
  <si>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</si>
  <si>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</si>
  <si>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</si>
  <si>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</si>
  <si>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</si>
  <si>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</si>
  <si>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</si>
  <si>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</si>
  <si>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</si>
  <si>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</si>
  <si>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</si>
  <si>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</si>
  <si>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</si>
  <si>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</si>
  <si>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</si>
  <si>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</si>
  <si>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</si>
  <si>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</si>
  <si>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</si>
  <si>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</si>
  <si>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</si>
  <si>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</si>
  <si>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</si>
  <si>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</si>
  <si>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</si>
  <si>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</si>
  <si>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</si>
  <si>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</si>
  <si>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</si>
  <si>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</si>
  <si>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</si>
  <si>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</si>
  <si>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</si>
  <si>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</si>
  <si>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</si>
  <si>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</si>
  <si>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</si>
  <si>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</si>
  <si>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</si>
  <si>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</si>
  <si>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</si>
  <si>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</si>
  <si>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</si>
  <si>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</si>
  <si>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</si>
  <si>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</si>
  <si>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</si>
  <si>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</si>
  <si>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</si>
  <si>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</si>
  <si>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</si>
  <si>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</si>
  <si>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</si>
  <si>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</si>
  <si>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</si>
  <si>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</si>
  <si>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</si>
  <si>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</si>
  <si>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</si>
  <si>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</si>
  <si>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</si>
  <si>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</si>
  <si>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</si>
  <si>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</si>
  <si>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</si>
  <si>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</si>
  <si>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</si>
  <si>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</si>
  <si>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</si>
  <si>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</si>
  <si>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</si>
  <si>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</si>
  <si>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</si>
  <si>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</si>
  <si>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</si>
  <si>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</si>
  <si>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</si>
  <si>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</si>
  <si>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</si>
  <si>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</si>
  <si>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</si>
  <si>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</si>
  <si>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</si>
  <si>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</si>
  <si>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</si>
  <si>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</si>
  <si>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</si>
  <si>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</si>
  <si>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</si>
  <si>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</si>
  <si>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</si>
  <si>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</si>
  <si>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</si>
  <si>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</si>
  <si>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</si>
  <si>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</si>
  <si>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</si>
  <si>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</si>
  <si>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</si>
  <si>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</si>
  <si>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</si>
  <si>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</si>
  <si>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</si>
  <si>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</si>
  <si>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</si>
  <si>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</si>
  <si>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</si>
  <si>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LV</t>
  </si>
  <si>
    <t>OF</t>
  </si>
  <si>
    <t>Export Operators Roster for the Month of APRIL 2026</t>
  </si>
  <si>
    <t>Export Load Control Roster for the Month of APRIL 2026</t>
  </si>
  <si>
    <t>Export Checkers Roster for the Month of APRIL 2026</t>
  </si>
  <si>
    <t>SL</t>
  </si>
  <si>
    <t xml:space="preserve">Adil Al Zadjali - 8584 </t>
  </si>
  <si>
    <t xml:space="preserve">Ahmed Al Balushi - 82415 </t>
  </si>
  <si>
    <t>Ahmed Al Balushi  - 82415</t>
  </si>
  <si>
    <t>Ahmed Al Bakari - 81832</t>
  </si>
  <si>
    <t>Mohamed Al Subhi - 82592 (Inventory)</t>
  </si>
  <si>
    <t>Khalil Al Mazruie - 82598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</si>
</sst>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2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 textRotation="90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3" xfId="0" applyFont="1" applyFill="1" applyBorder="1"/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 applyProtection="1">
      <alignment horizontal="center" vertical="center"/>
      <protection locked="0"/>
    </xf>
    <xf numFmtId="0" fontId="18" fillId="0" borderId="25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11" borderId="34" xfId="0" applyFont="1" applyFill="1" applyBorder="1" applyAlignment="1">
      <alignment horizontal="center"/>
    </xf>
    <xf numFmtId="0" fontId="4" fillId="11" borderId="46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15" fillId="7" borderId="13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45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5" borderId="3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239"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</row>
    <row r="2" spans="2:40" ht="28.5" x14ac:dyDescent="0.45">
      <c r="B2" s="130" t="s">
        <v>32</v>
      </c>
      <c r="C2" s="130"/>
      <c r="D2" s="10"/>
      <c r="E2" s="131" t="s">
        <v>33</v>
      </c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 t="s">
        <v>9</v>
      </c>
      <c r="X2" s="131"/>
      <c r="Y2" s="131"/>
      <c r="Z2" s="131"/>
      <c r="AA2" s="131"/>
      <c r="AB2" s="131"/>
      <c r="AC2" s="131">
        <v>2025</v>
      </c>
      <c r="AD2" s="131"/>
      <c r="AE2" s="131"/>
      <c r="AF2" s="131"/>
      <c r="AG2" s="5"/>
      <c r="AH2" s="5"/>
      <c r="AI2" s="5"/>
      <c r="AK2" s="127" t="s">
        <v>78</v>
      </c>
      <c r="AL2" s="127"/>
      <c r="AM2" s="127"/>
      <c r="AN2" s="127"/>
    </row>
    <row r="3" spans="2:40" x14ac:dyDescent="0.25">
      <c r="B3" s="130"/>
      <c r="C3" s="130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27"/>
      <c r="AL3" s="127"/>
      <c r="AM3" s="127"/>
      <c r="AN3" s="127"/>
    </row>
    <row r="4" spans="2:40" x14ac:dyDescent="0.25">
      <c r="B4" s="130"/>
      <c r="C4" s="130"/>
      <c r="D4" s="11"/>
      <c r="E4" s="124" t="s">
        <v>34</v>
      </c>
      <c r="F4" s="124"/>
      <c r="G4" s="124"/>
      <c r="H4" s="124"/>
      <c r="I4" s="124"/>
      <c r="J4" s="3">
        <v>1</v>
      </c>
      <c r="K4" s="3"/>
      <c r="L4" s="3"/>
      <c r="M4" s="125" t="s">
        <v>35</v>
      </c>
      <c r="N4" s="125"/>
      <c r="O4" s="125"/>
      <c r="P4" s="126">
        <f>IFERROR(DATEVALUE(J4&amp;W2&amp;AC2),"")</f>
        <v>45901</v>
      </c>
      <c r="Q4" s="126"/>
      <c r="R4" s="126"/>
      <c r="S4" s="3"/>
      <c r="T4" s="3"/>
      <c r="U4" s="125" t="s">
        <v>36</v>
      </c>
      <c r="V4" s="125"/>
      <c r="W4" s="125"/>
      <c r="X4" s="126">
        <f>IFERROR(EOMONTH(P4,0)+J4-1,"")</f>
        <v>45930</v>
      </c>
      <c r="Y4" s="126"/>
      <c r="Z4" s="126"/>
      <c r="AA4" s="3"/>
      <c r="AB4" s="3"/>
      <c r="AC4" s="125" t="s">
        <v>37</v>
      </c>
      <c r="AD4" s="125"/>
      <c r="AE4" s="125"/>
      <c r="AF4" s="3">
        <f>COUNTIF(E6:AI6,"*?")</f>
        <v>30</v>
      </c>
      <c r="AG4" s="3"/>
      <c r="AH4" s="3"/>
      <c r="AI4" s="3"/>
      <c r="AK4" s="127"/>
      <c r="AL4" s="127"/>
      <c r="AM4" s="127"/>
      <c r="AN4" s="127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29" t="s">
        <v>38</v>
      </c>
      <c r="C6" s="129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28" t="s">
        <v>74</v>
      </c>
      <c r="AL6" s="128" t="s">
        <v>75</v>
      </c>
      <c r="AM6" s="128" t="s">
        <v>76</v>
      </c>
      <c r="AN6" s="128" t="s">
        <v>77</v>
      </c>
    </row>
    <row r="7" spans="2:40" x14ac:dyDescent="0.25">
      <c r="B7" s="129"/>
      <c r="C7" s="129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28"/>
      <c r="AL7" s="128"/>
      <c r="AM7" s="128"/>
      <c r="AN7" s="128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24" t="s">
        <v>70</v>
      </c>
      <c r="C39" s="124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24" t="s">
        <v>71</v>
      </c>
      <c r="C40" s="124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24" t="s">
        <v>72</v>
      </c>
      <c r="C41" s="124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24" t="s">
        <v>73</v>
      </c>
      <c r="C42" s="124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238" priority="4">
      <formula>LEFT(E8,1)="N"</formula>
    </cfRule>
    <cfRule type="expression" dxfId="237" priority="5">
      <formula>LEFT(E8,1)="A"</formula>
    </cfRule>
    <cfRule type="expression" dxfId="236" priority="7">
      <formula>LEFT(E8,1)="M"</formula>
    </cfRule>
    <cfRule type="expression" dxfId="235" priority="8">
      <formula>LEFT(E8,1)="D"</formula>
    </cfRule>
  </conditionalFormatting>
  <conditionalFormatting sqref="E39:AI42 E8:AI37 AK8:AN37">
    <cfRule type="expression" dxfId="234" priority="3">
      <formula>LEFT(E8,1)="O"</formula>
    </cfRule>
  </conditionalFormatting>
  <conditionalFormatting sqref="E39:AI42">
    <cfRule type="expression" dxfId="233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8"/>
  <sheetViews>
    <sheetView tabSelected="1" topLeftCell="A40" zoomScale="60" zoomScaleNormal="60" workbookViewId="0">
      <selection activeCell="J72" sqref="J72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76" t="s">
        <v>233</v>
      </c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8"/>
      <c r="AL2" s="179" t="s">
        <v>111</v>
      </c>
      <c r="AM2" s="179" t="s">
        <v>112</v>
      </c>
      <c r="AN2" s="179" t="s">
        <v>115</v>
      </c>
      <c r="AO2" s="179" t="s">
        <v>113</v>
      </c>
      <c r="AP2" s="179" t="s">
        <v>114</v>
      </c>
    </row>
    <row r="3" spans="2:42" ht="39.75" thickBot="1" x14ac:dyDescent="0.3">
      <c r="B3" s="172" t="s">
        <v>105</v>
      </c>
      <c r="C3" s="172"/>
      <c r="D3" s="172"/>
      <c r="F3" s="49" t="s">
        <v>97</v>
      </c>
      <c r="G3" s="50" t="s">
        <v>98</v>
      </c>
      <c r="H3" s="50" t="s">
        <v>99</v>
      </c>
      <c r="I3" s="49" t="s">
        <v>100</v>
      </c>
      <c r="J3" s="50" t="s">
        <v>101</v>
      </c>
      <c r="K3" s="50" t="s">
        <v>95</v>
      </c>
      <c r="L3" s="49" t="s">
        <v>96</v>
      </c>
      <c r="M3" s="50" t="s">
        <v>97</v>
      </c>
      <c r="N3" s="50" t="s">
        <v>98</v>
      </c>
      <c r="O3" s="49" t="s">
        <v>99</v>
      </c>
      <c r="P3" s="50" t="s">
        <v>100</v>
      </c>
      <c r="Q3" s="50" t="s">
        <v>101</v>
      </c>
      <c r="R3" s="49" t="s">
        <v>95</v>
      </c>
      <c r="S3" s="50" t="s">
        <v>96</v>
      </c>
      <c r="T3" s="50" t="s">
        <v>97</v>
      </c>
      <c r="U3" s="49" t="s">
        <v>98</v>
      </c>
      <c r="V3" s="50" t="s">
        <v>99</v>
      </c>
      <c r="W3" s="50" t="s">
        <v>100</v>
      </c>
      <c r="X3" s="49" t="s">
        <v>101</v>
      </c>
      <c r="Y3" s="50" t="s">
        <v>95</v>
      </c>
      <c r="Z3" s="50" t="s">
        <v>96</v>
      </c>
      <c r="AA3" s="49" t="s">
        <v>97</v>
      </c>
      <c r="AB3" s="50" t="s">
        <v>98</v>
      </c>
      <c r="AC3" s="50" t="s">
        <v>99</v>
      </c>
      <c r="AD3" s="49" t="s">
        <v>100</v>
      </c>
      <c r="AE3" s="50" t="s">
        <v>101</v>
      </c>
      <c r="AF3" s="50" t="s">
        <v>95</v>
      </c>
      <c r="AG3" s="49" t="s">
        <v>96</v>
      </c>
      <c r="AH3" s="50" t="s">
        <v>97</v>
      </c>
      <c r="AI3" s="50" t="s">
        <v>98</v>
      </c>
      <c r="AJ3" s="44"/>
      <c r="AL3" s="180"/>
      <c r="AM3" s="180"/>
      <c r="AN3" s="180"/>
      <c r="AO3" s="180"/>
      <c r="AP3" s="180"/>
    </row>
    <row r="4" spans="2:42" ht="19.5" customHeight="1" thickBot="1" x14ac:dyDescent="0.35">
      <c r="B4" s="172"/>
      <c r="C4" s="172"/>
      <c r="D4" s="172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48"/>
      <c r="AL4" s="181"/>
      <c r="AM4" s="181"/>
      <c r="AN4" s="181"/>
      <c r="AO4" s="181"/>
      <c r="AP4" s="181"/>
    </row>
    <row r="5" spans="2:42" ht="19.5" customHeight="1" x14ac:dyDescent="0.25">
      <c r="B5" s="37" t="s">
        <v>230</v>
      </c>
      <c r="C5" s="141" t="s">
        <v>164</v>
      </c>
      <c r="D5" s="141"/>
      <c r="F5" s="251" t="s">
        <v>211</v>
      </c>
      <c r="G5" s="251" t="s">
        <v>211</v>
      </c>
      <c r="H5" s="251" t="s">
        <v>228</v>
      </c>
      <c r="I5" s="251" t="s">
        <v>228</v>
      </c>
      <c r="J5" s="251" t="s">
        <v>211</v>
      </c>
      <c r="K5" s="251" t="s">
        <v>211</v>
      </c>
      <c r="L5" s="251" t="s">
        <v>211</v>
      </c>
      <c r="M5" s="251" t="s">
        <v>211</v>
      </c>
      <c r="N5" s="251" t="s">
        <v>211</v>
      </c>
      <c r="O5" s="251" t="s">
        <v>228</v>
      </c>
      <c r="P5" s="251" t="s">
        <v>228</v>
      </c>
      <c r="Q5" s="251" t="s">
        <v>211</v>
      </c>
      <c r="R5" s="251" t="s">
        <v>211</v>
      </c>
      <c r="S5" s="251" t="s">
        <v>211</v>
      </c>
      <c r="T5" s="251" t="s">
        <v>211</v>
      </c>
      <c r="U5" s="251" t="s">
        <v>211</v>
      </c>
      <c r="V5" s="251" t="s">
        <v>228</v>
      </c>
      <c r="W5" s="251" t="s">
        <v>228</v>
      </c>
      <c r="X5" s="251" t="s">
        <v>211</v>
      </c>
      <c r="Y5" s="251" t="s">
        <v>211</v>
      </c>
      <c r="Z5" s="251" t="s">
        <v>211</v>
      </c>
      <c r="AA5" s="251" t="s">
        <v>211</v>
      </c>
      <c r="AB5" s="251" t="s">
        <v>211</v>
      </c>
      <c r="AC5" s="251" t="s">
        <v>228</v>
      </c>
      <c r="AD5" s="251" t="s">
        <v>228</v>
      </c>
      <c r="AE5" s="251" t="s">
        <v>211</v>
      </c>
      <c r="AF5" s="251" t="s">
        <v>211</v>
      </c>
      <c r="AG5" s="251" t="s">
        <v>211</v>
      </c>
      <c r="AH5" s="251" t="s">
        <v>211</v>
      </c>
      <c r="AI5" s="251" t="s">
        <v>211</v>
      </c>
      <c r="AJ5" s="23"/>
      <c r="AL5" s="115">
        <f>COUNTIF($F5:$AJ5,"ST*")</f>
        <v>0</v>
      </c>
      <c r="AM5" s="115">
        <f>COUNTIF($F5:$AJ5,"M*")</f>
        <v>22</v>
      </c>
      <c r="AN5" s="115">
        <f>COUNTIF($F5:$AJ5,"A*")</f>
        <v>0</v>
      </c>
      <c r="AO5" s="115">
        <f>COUNTIF($F5:$AJ5,"N*")</f>
        <v>0</v>
      </c>
      <c r="AP5" s="115">
        <f>COUNTIF($F5:$AJ5,"O*")</f>
        <v>8</v>
      </c>
    </row>
    <row r="6" spans="2:42" ht="19.5" customHeight="1" x14ac:dyDescent="0.25">
      <c r="B6" s="37" t="s">
        <v>230</v>
      </c>
      <c r="C6" s="141" t="s">
        <v>167</v>
      </c>
      <c r="D6" s="141"/>
      <c r="F6" s="261" t="s">
        <v>211</v>
      </c>
      <c r="G6" s="261" t="s">
        <v>211</v>
      </c>
      <c r="H6" s="261" t="s">
        <v>228</v>
      </c>
      <c r="I6" s="261" t="s">
        <v>228</v>
      </c>
      <c r="J6" s="261" t="s">
        <v>211</v>
      </c>
      <c r="K6" s="261" t="s">
        <v>211</v>
      </c>
      <c r="L6" s="261" t="s">
        <v>211</v>
      </c>
      <c r="M6" s="261" t="s">
        <v>211</v>
      </c>
      <c r="N6" s="261" t="s">
        <v>126</v>
      </c>
      <c r="O6" s="261" t="s">
        <v>228</v>
      </c>
      <c r="P6" s="261" t="s">
        <v>228</v>
      </c>
      <c r="Q6" s="261" t="s">
        <v>211</v>
      </c>
      <c r="R6" s="261" t="s">
        <v>211</v>
      </c>
      <c r="S6" s="252" t="s">
        <v>211</v>
      </c>
      <c r="T6" s="252" t="s">
        <v>211</v>
      </c>
      <c r="U6" s="252" t="s">
        <v>211</v>
      </c>
      <c r="V6" s="252" t="s">
        <v>228</v>
      </c>
      <c r="W6" s="252" t="s">
        <v>228</v>
      </c>
      <c r="X6" s="252" t="s">
        <v>211</v>
      </c>
      <c r="Y6" s="252" t="s">
        <v>211</v>
      </c>
      <c r="Z6" s="252" t="s">
        <v>211</v>
      </c>
      <c r="AA6" s="252" t="s">
        <v>211</v>
      </c>
      <c r="AB6" s="252" t="s">
        <v>211</v>
      </c>
      <c r="AC6" s="252" t="s">
        <v>228</v>
      </c>
      <c r="AD6" s="252" t="s">
        <v>228</v>
      </c>
      <c r="AE6" s="252" t="s">
        <v>211</v>
      </c>
      <c r="AF6" s="252" t="s">
        <v>211</v>
      </c>
      <c r="AG6" s="252" t="s">
        <v>211</v>
      </c>
      <c r="AH6" s="252" t="s">
        <v>211</v>
      </c>
      <c r="AI6" s="252" t="s">
        <v>211</v>
      </c>
      <c r="AJ6" s="52"/>
      <c r="AL6" s="115">
        <f t="shared" ref="AL6:AL8" si="0">COUNTIF($F6:$AJ6,"ST*")</f>
        <v>0</v>
      </c>
      <c r="AM6" s="115">
        <f t="shared" ref="AM6:AM8" si="1">COUNTIF($F6:$AJ6,"M*")</f>
        <v>21</v>
      </c>
      <c r="AN6" s="115">
        <f t="shared" ref="AN6:AN8" si="2">COUNTIF($F6:$AJ6,"A*")</f>
        <v>0</v>
      </c>
      <c r="AO6" s="115">
        <f t="shared" ref="AO6:AO8" si="3">COUNTIF($F6:$AJ6,"N*")</f>
        <v>0</v>
      </c>
      <c r="AP6" s="115">
        <f t="shared" ref="AP6:AP8" si="4">COUNTIF($F6:$AJ6,"O*")</f>
        <v>8</v>
      </c>
    </row>
    <row r="7" spans="2:42" ht="19.5" customHeight="1" x14ac:dyDescent="0.25">
      <c r="B7" s="37" t="s">
        <v>230</v>
      </c>
      <c r="C7" s="141" t="s">
        <v>165</v>
      </c>
      <c r="D7" s="141"/>
      <c r="F7" s="257" t="s">
        <v>229</v>
      </c>
      <c r="G7" s="257" t="s">
        <v>229</v>
      </c>
      <c r="H7" s="257" t="s">
        <v>229</v>
      </c>
      <c r="I7" s="257" t="s">
        <v>229</v>
      </c>
      <c r="J7" s="257" t="s">
        <v>229</v>
      </c>
      <c r="K7" s="257" t="s">
        <v>229</v>
      </c>
      <c r="L7" s="257" t="s">
        <v>229</v>
      </c>
      <c r="M7" s="257" t="s">
        <v>229</v>
      </c>
      <c r="N7" s="257" t="s">
        <v>229</v>
      </c>
      <c r="O7" s="257" t="s">
        <v>229</v>
      </c>
      <c r="P7" s="257" t="s">
        <v>229</v>
      </c>
      <c r="Q7" s="257" t="s">
        <v>229</v>
      </c>
      <c r="R7" s="257" t="s">
        <v>229</v>
      </c>
      <c r="S7" s="252" t="s">
        <v>228</v>
      </c>
      <c r="T7" s="252" t="s">
        <v>228</v>
      </c>
      <c r="U7" s="252" t="s">
        <v>203</v>
      </c>
      <c r="V7" s="252" t="s">
        <v>203</v>
      </c>
      <c r="W7" s="252" t="s">
        <v>203</v>
      </c>
      <c r="X7" s="252" t="s">
        <v>204</v>
      </c>
      <c r="Y7" s="252" t="s">
        <v>204</v>
      </c>
      <c r="Z7" s="252" t="s">
        <v>228</v>
      </c>
      <c r="AA7" s="252" t="s">
        <v>228</v>
      </c>
      <c r="AB7" s="252" t="s">
        <v>203</v>
      </c>
      <c r="AC7" s="252" t="s">
        <v>203</v>
      </c>
      <c r="AD7" s="252" t="s">
        <v>203</v>
      </c>
      <c r="AE7" s="252" t="s">
        <v>126</v>
      </c>
      <c r="AF7" s="252" t="s">
        <v>204</v>
      </c>
      <c r="AG7" s="252" t="s">
        <v>228</v>
      </c>
      <c r="AH7" s="252" t="s">
        <v>228</v>
      </c>
      <c r="AI7" s="252" t="s">
        <v>203</v>
      </c>
      <c r="AJ7" s="52"/>
      <c r="AL7" s="115">
        <f t="shared" si="0"/>
        <v>0</v>
      </c>
      <c r="AM7" s="115">
        <f t="shared" si="1"/>
        <v>7</v>
      </c>
      <c r="AN7" s="115">
        <f t="shared" si="2"/>
        <v>3</v>
      </c>
      <c r="AO7" s="115">
        <f t="shared" si="3"/>
        <v>0</v>
      </c>
      <c r="AP7" s="115">
        <f t="shared" si="4"/>
        <v>6</v>
      </c>
    </row>
    <row r="8" spans="2:42" ht="19.5" customHeight="1" thickBot="1" x14ac:dyDescent="0.3">
      <c r="B8" s="37" t="s">
        <v>230</v>
      </c>
      <c r="C8" s="141" t="s">
        <v>166</v>
      </c>
      <c r="D8" s="141"/>
      <c r="F8" s="252" t="s">
        <v>203</v>
      </c>
      <c r="G8" s="252" t="s">
        <v>204</v>
      </c>
      <c r="H8" s="252" t="s">
        <v>204</v>
      </c>
      <c r="I8" s="252" t="s">
        <v>204</v>
      </c>
      <c r="J8" s="252" t="s">
        <v>228</v>
      </c>
      <c r="K8" s="252" t="s">
        <v>228</v>
      </c>
      <c r="L8" s="252" t="s">
        <v>203</v>
      </c>
      <c r="M8" s="252" t="s">
        <v>203</v>
      </c>
      <c r="N8" s="252" t="s">
        <v>126</v>
      </c>
      <c r="O8" s="252" t="s">
        <v>204</v>
      </c>
      <c r="P8" s="252" t="s">
        <v>204</v>
      </c>
      <c r="Q8" s="252" t="s">
        <v>228</v>
      </c>
      <c r="R8" s="252" t="s">
        <v>228</v>
      </c>
      <c r="S8" s="252" t="s">
        <v>203</v>
      </c>
      <c r="T8" s="252" t="s">
        <v>203</v>
      </c>
      <c r="U8" s="252" t="s">
        <v>204</v>
      </c>
      <c r="V8" s="252" t="s">
        <v>204</v>
      </c>
      <c r="W8" s="252" t="s">
        <v>204</v>
      </c>
      <c r="X8" s="252" t="s">
        <v>228</v>
      </c>
      <c r="Y8" s="252" t="s">
        <v>228</v>
      </c>
      <c r="Z8" s="252" t="s">
        <v>203</v>
      </c>
      <c r="AA8" s="252" t="s">
        <v>203</v>
      </c>
      <c r="AB8" s="252" t="s">
        <v>204</v>
      </c>
      <c r="AC8" s="252" t="s">
        <v>204</v>
      </c>
      <c r="AD8" s="252" t="s">
        <v>204</v>
      </c>
      <c r="AE8" s="252" t="s">
        <v>228</v>
      </c>
      <c r="AF8" s="252" t="s">
        <v>228</v>
      </c>
      <c r="AG8" s="252" t="s">
        <v>203</v>
      </c>
      <c r="AH8" s="252" t="s">
        <v>203</v>
      </c>
      <c r="AI8" s="252" t="s">
        <v>204</v>
      </c>
      <c r="AJ8" s="52"/>
      <c r="AL8" s="115">
        <f t="shared" si="0"/>
        <v>0</v>
      </c>
      <c r="AM8" s="115">
        <f t="shared" si="1"/>
        <v>9</v>
      </c>
      <c r="AN8" s="115">
        <f t="shared" si="2"/>
        <v>12</v>
      </c>
      <c r="AO8" s="115">
        <f t="shared" si="3"/>
        <v>0</v>
      </c>
      <c r="AP8" s="115">
        <f t="shared" si="4"/>
        <v>8</v>
      </c>
    </row>
    <row r="9" spans="2:42" ht="18.75" x14ac:dyDescent="0.25">
      <c r="B9" s="37" t="s">
        <v>220</v>
      </c>
      <c r="C9" s="141" t="s">
        <v>158</v>
      </c>
      <c r="D9" s="141"/>
      <c r="F9" s="253" t="s">
        <v>203</v>
      </c>
      <c r="G9" s="253" t="s">
        <v>204</v>
      </c>
      <c r="H9" s="253" t="s">
        <v>204</v>
      </c>
      <c r="I9" s="253" t="s">
        <v>227</v>
      </c>
      <c r="J9" s="253" t="s">
        <v>228</v>
      </c>
      <c r="K9" s="253" t="s">
        <v>228</v>
      </c>
      <c r="L9" s="253" t="s">
        <v>228</v>
      </c>
      <c r="M9" s="253" t="s">
        <v>203</v>
      </c>
      <c r="N9" s="253" t="s">
        <v>203</v>
      </c>
      <c r="O9" s="253" t="s">
        <v>204</v>
      </c>
      <c r="P9" s="253" t="s">
        <v>204</v>
      </c>
      <c r="Q9" s="253" t="s">
        <v>227</v>
      </c>
      <c r="R9" s="253" t="s">
        <v>228</v>
      </c>
      <c r="S9" s="253" t="s">
        <v>228</v>
      </c>
      <c r="T9" s="253" t="s">
        <v>228</v>
      </c>
      <c r="U9" s="253" t="s">
        <v>203</v>
      </c>
      <c r="V9" s="253" t="s">
        <v>203</v>
      </c>
      <c r="W9" s="253" t="s">
        <v>204</v>
      </c>
      <c r="X9" s="253" t="s">
        <v>204</v>
      </c>
      <c r="Y9" s="253" t="s">
        <v>227</v>
      </c>
      <c r="Z9" s="253" t="s">
        <v>228</v>
      </c>
      <c r="AA9" s="253" t="s">
        <v>228</v>
      </c>
      <c r="AB9" s="253" t="s">
        <v>228</v>
      </c>
      <c r="AC9" s="253" t="s">
        <v>203</v>
      </c>
      <c r="AD9" s="253" t="s">
        <v>203</v>
      </c>
      <c r="AE9" s="253" t="s">
        <v>204</v>
      </c>
      <c r="AF9" s="253" t="s">
        <v>204</v>
      </c>
      <c r="AG9" s="253" t="s">
        <v>227</v>
      </c>
      <c r="AH9" s="253" t="s">
        <v>228</v>
      </c>
      <c r="AI9" s="253" t="s">
        <v>228</v>
      </c>
      <c r="AJ9" s="43"/>
      <c r="AL9" s="51">
        <f t="shared" ref="AL9:AL14" si="5">COUNTIF($F9:$AJ9,"ST*")</f>
        <v>0</v>
      </c>
      <c r="AM9" s="51">
        <f t="shared" ref="AM9:AM14" si="6">COUNTIF($F9:$AJ9,"M*")</f>
        <v>7</v>
      </c>
      <c r="AN9" s="51">
        <f t="shared" ref="AN9:AN14" si="7">COUNTIF($F9:$AJ9,"A*")</f>
        <v>8</v>
      </c>
      <c r="AO9" s="51">
        <f t="shared" ref="AO9:AO14" si="8">COUNTIF($F9:$AJ9,"N*")</f>
        <v>4</v>
      </c>
      <c r="AP9" s="51">
        <f t="shared" ref="AP9:AP14" si="9">COUNTIF($F9:$AJ9,"O*")</f>
        <v>11</v>
      </c>
    </row>
    <row r="10" spans="2:42" ht="18.75" x14ac:dyDescent="0.25">
      <c r="B10" s="37" t="s">
        <v>220</v>
      </c>
      <c r="C10" s="141" t="s">
        <v>159</v>
      </c>
      <c r="D10" s="141"/>
      <c r="F10" s="252" t="s">
        <v>229</v>
      </c>
      <c r="G10" s="252" t="s">
        <v>229</v>
      </c>
      <c r="H10" s="252" t="s">
        <v>228</v>
      </c>
      <c r="I10" s="252" t="s">
        <v>228</v>
      </c>
      <c r="J10" s="252" t="s">
        <v>203</v>
      </c>
      <c r="K10" s="252" t="s">
        <v>203</v>
      </c>
      <c r="L10" s="252" t="s">
        <v>204</v>
      </c>
      <c r="M10" s="252" t="s">
        <v>204</v>
      </c>
      <c r="N10" s="252" t="s">
        <v>227</v>
      </c>
      <c r="O10" s="252" t="s">
        <v>228</v>
      </c>
      <c r="P10" s="252" t="s">
        <v>228</v>
      </c>
      <c r="Q10" s="252" t="s">
        <v>228</v>
      </c>
      <c r="R10" s="252" t="s">
        <v>203</v>
      </c>
      <c r="S10" s="252" t="s">
        <v>203</v>
      </c>
      <c r="T10" s="252" t="s">
        <v>204</v>
      </c>
      <c r="U10" s="252" t="s">
        <v>204</v>
      </c>
      <c r="V10" s="252" t="s">
        <v>227</v>
      </c>
      <c r="W10" s="252" t="s">
        <v>228</v>
      </c>
      <c r="X10" s="252" t="s">
        <v>228</v>
      </c>
      <c r="Y10" s="252" t="s">
        <v>228</v>
      </c>
      <c r="Z10" s="252" t="s">
        <v>203</v>
      </c>
      <c r="AA10" s="252" t="s">
        <v>203</v>
      </c>
      <c r="AB10" s="252" t="s">
        <v>204</v>
      </c>
      <c r="AC10" s="252" t="s">
        <v>204</v>
      </c>
      <c r="AD10" s="252" t="s">
        <v>227</v>
      </c>
      <c r="AE10" s="252" t="s">
        <v>228</v>
      </c>
      <c r="AF10" s="252" t="s">
        <v>228</v>
      </c>
      <c r="AG10" s="252" t="s">
        <v>228</v>
      </c>
      <c r="AH10" s="252" t="s">
        <v>203</v>
      </c>
      <c r="AI10" s="252" t="s">
        <v>203</v>
      </c>
      <c r="AJ10" s="52"/>
      <c r="AL10" s="51">
        <f t="shared" si="5"/>
        <v>0</v>
      </c>
      <c r="AM10" s="51">
        <f t="shared" si="6"/>
        <v>8</v>
      </c>
      <c r="AN10" s="51">
        <f t="shared" si="7"/>
        <v>6</v>
      </c>
      <c r="AO10" s="51">
        <f t="shared" si="8"/>
        <v>3</v>
      </c>
      <c r="AP10" s="51">
        <f t="shared" si="9"/>
        <v>11</v>
      </c>
    </row>
    <row r="11" spans="2:42" ht="18.75" x14ac:dyDescent="0.25">
      <c r="B11" s="37" t="s">
        <v>220</v>
      </c>
      <c r="C11" s="141" t="s">
        <v>160</v>
      </c>
      <c r="D11" s="141"/>
      <c r="F11" s="252" t="s">
        <v>228</v>
      </c>
      <c r="G11" s="252" t="s">
        <v>228</v>
      </c>
      <c r="H11" s="252" t="s">
        <v>228</v>
      </c>
      <c r="I11" s="252" t="s">
        <v>203</v>
      </c>
      <c r="J11" s="252" t="s">
        <v>204</v>
      </c>
      <c r="K11" s="252" t="s">
        <v>204</v>
      </c>
      <c r="L11" s="252" t="s">
        <v>227</v>
      </c>
      <c r="M11" s="252" t="s">
        <v>227</v>
      </c>
      <c r="N11" s="252" t="s">
        <v>228</v>
      </c>
      <c r="O11" s="252" t="s">
        <v>228</v>
      </c>
      <c r="P11" s="252" t="s">
        <v>228</v>
      </c>
      <c r="Q11" s="252" t="s">
        <v>203</v>
      </c>
      <c r="R11" s="252" t="s">
        <v>204</v>
      </c>
      <c r="S11" s="252" t="s">
        <v>204</v>
      </c>
      <c r="T11" s="252" t="s">
        <v>227</v>
      </c>
      <c r="U11" s="252" t="s">
        <v>227</v>
      </c>
      <c r="V11" s="252" t="s">
        <v>228</v>
      </c>
      <c r="W11" s="252" t="s">
        <v>228</v>
      </c>
      <c r="X11" s="252" t="s">
        <v>228</v>
      </c>
      <c r="Y11" s="252" t="s">
        <v>203</v>
      </c>
      <c r="Z11" s="252" t="s">
        <v>204</v>
      </c>
      <c r="AA11" s="252" t="s">
        <v>204</v>
      </c>
      <c r="AB11" s="254" t="s">
        <v>227</v>
      </c>
      <c r="AC11" s="252" t="s">
        <v>227</v>
      </c>
      <c r="AD11" s="252" t="s">
        <v>228</v>
      </c>
      <c r="AE11" s="252" t="s">
        <v>228</v>
      </c>
      <c r="AF11" s="252" t="s">
        <v>228</v>
      </c>
      <c r="AG11" s="252" t="s">
        <v>203</v>
      </c>
      <c r="AH11" s="252" t="s">
        <v>204</v>
      </c>
      <c r="AI11" s="252" t="s">
        <v>204</v>
      </c>
      <c r="AJ11" s="52"/>
      <c r="AL11" s="51">
        <f t="shared" si="5"/>
        <v>0</v>
      </c>
      <c r="AM11" s="51">
        <f t="shared" si="6"/>
        <v>4</v>
      </c>
      <c r="AN11" s="51">
        <f t="shared" si="7"/>
        <v>8</v>
      </c>
      <c r="AO11" s="51">
        <f t="shared" si="8"/>
        <v>6</v>
      </c>
      <c r="AP11" s="51">
        <f t="shared" si="9"/>
        <v>12</v>
      </c>
    </row>
    <row r="12" spans="2:42" ht="18.75" x14ac:dyDescent="0.25">
      <c r="B12" s="37" t="s">
        <v>220</v>
      </c>
      <c r="C12" s="141" t="s">
        <v>161</v>
      </c>
      <c r="D12" s="141"/>
      <c r="F12" s="252" t="s">
        <v>204</v>
      </c>
      <c r="G12" s="252" t="s">
        <v>227</v>
      </c>
      <c r="H12" s="252" t="s">
        <v>227</v>
      </c>
      <c r="I12" s="252" t="s">
        <v>228</v>
      </c>
      <c r="J12" s="252" t="s">
        <v>228</v>
      </c>
      <c r="K12" s="252" t="s">
        <v>228</v>
      </c>
      <c r="L12" s="252" t="s">
        <v>203</v>
      </c>
      <c r="M12" s="252" t="s">
        <v>126</v>
      </c>
      <c r="N12" s="252" t="s">
        <v>204</v>
      </c>
      <c r="O12" s="252" t="s">
        <v>227</v>
      </c>
      <c r="P12" s="252" t="s">
        <v>227</v>
      </c>
      <c r="Q12" s="252" t="s">
        <v>228</v>
      </c>
      <c r="R12" s="252" t="s">
        <v>228</v>
      </c>
      <c r="S12" s="252" t="s">
        <v>228</v>
      </c>
      <c r="T12" s="252" t="s">
        <v>203</v>
      </c>
      <c r="U12" s="252" t="s">
        <v>203</v>
      </c>
      <c r="V12" s="252" t="s">
        <v>204</v>
      </c>
      <c r="W12" s="252" t="s">
        <v>227</v>
      </c>
      <c r="X12" s="252" t="s">
        <v>227</v>
      </c>
      <c r="Y12" s="252" t="s">
        <v>228</v>
      </c>
      <c r="Z12" s="252" t="s">
        <v>228</v>
      </c>
      <c r="AA12" s="252" t="s">
        <v>228</v>
      </c>
      <c r="AB12" s="252" t="s">
        <v>203</v>
      </c>
      <c r="AC12" s="252" t="s">
        <v>203</v>
      </c>
      <c r="AD12" s="252" t="s">
        <v>204</v>
      </c>
      <c r="AE12" s="252" t="s">
        <v>227</v>
      </c>
      <c r="AF12" s="252" t="s">
        <v>227</v>
      </c>
      <c r="AG12" s="252" t="s">
        <v>228</v>
      </c>
      <c r="AH12" s="252" t="s">
        <v>228</v>
      </c>
      <c r="AI12" s="252" t="s">
        <v>228</v>
      </c>
      <c r="AJ12" s="52"/>
      <c r="AL12" s="51">
        <f t="shared" si="5"/>
        <v>0</v>
      </c>
      <c r="AM12" s="51">
        <f t="shared" si="6"/>
        <v>5</v>
      </c>
      <c r="AN12" s="51">
        <f t="shared" si="7"/>
        <v>4</v>
      </c>
      <c r="AO12" s="51">
        <f t="shared" si="8"/>
        <v>8</v>
      </c>
      <c r="AP12" s="51">
        <f t="shared" si="9"/>
        <v>12</v>
      </c>
    </row>
    <row r="13" spans="2:42" ht="18.75" x14ac:dyDescent="0.25">
      <c r="B13" s="37" t="s">
        <v>220</v>
      </c>
      <c r="C13" s="141" t="s">
        <v>162</v>
      </c>
      <c r="D13" s="141"/>
      <c r="F13" s="252" t="s">
        <v>228</v>
      </c>
      <c r="G13" s="252" t="s">
        <v>203</v>
      </c>
      <c r="H13" s="252" t="s">
        <v>203</v>
      </c>
      <c r="I13" s="252" t="s">
        <v>204</v>
      </c>
      <c r="J13" s="252" t="s">
        <v>227</v>
      </c>
      <c r="K13" s="252" t="s">
        <v>227</v>
      </c>
      <c r="L13" s="252" t="s">
        <v>228</v>
      </c>
      <c r="M13" s="252" t="s">
        <v>228</v>
      </c>
      <c r="N13" s="252" t="s">
        <v>228</v>
      </c>
      <c r="O13" s="252" t="s">
        <v>203</v>
      </c>
      <c r="P13" s="252" t="s">
        <v>203</v>
      </c>
      <c r="Q13" s="252" t="s">
        <v>204</v>
      </c>
      <c r="R13" s="252" t="s">
        <v>227</v>
      </c>
      <c r="S13" s="252" t="s">
        <v>227</v>
      </c>
      <c r="T13" s="252" t="s">
        <v>228</v>
      </c>
      <c r="U13" s="252" t="s">
        <v>228</v>
      </c>
      <c r="V13" s="252" t="s">
        <v>228</v>
      </c>
      <c r="W13" s="252" t="s">
        <v>203</v>
      </c>
      <c r="X13" s="252" t="s">
        <v>203</v>
      </c>
      <c r="Y13" s="252" t="s">
        <v>204</v>
      </c>
      <c r="Z13" s="252" t="s">
        <v>227</v>
      </c>
      <c r="AA13" s="252" t="s">
        <v>227</v>
      </c>
      <c r="AB13" s="252" t="s">
        <v>228</v>
      </c>
      <c r="AC13" s="252" t="s">
        <v>228</v>
      </c>
      <c r="AD13" s="252" t="s">
        <v>228</v>
      </c>
      <c r="AE13" s="252" t="s">
        <v>203</v>
      </c>
      <c r="AF13" s="252" t="s">
        <v>203</v>
      </c>
      <c r="AG13" s="252" t="s">
        <v>204</v>
      </c>
      <c r="AH13" s="252" t="s">
        <v>227</v>
      </c>
      <c r="AI13" s="252" t="s">
        <v>227</v>
      </c>
      <c r="AJ13" s="52"/>
      <c r="AK13" s="95"/>
      <c r="AL13" s="51">
        <f t="shared" si="5"/>
        <v>0</v>
      </c>
      <c r="AM13" s="51">
        <f t="shared" si="6"/>
        <v>8</v>
      </c>
      <c r="AN13" s="51">
        <f t="shared" si="7"/>
        <v>4</v>
      </c>
      <c r="AO13" s="51">
        <f t="shared" si="8"/>
        <v>8</v>
      </c>
      <c r="AP13" s="51">
        <f t="shared" si="9"/>
        <v>10</v>
      </c>
    </row>
    <row r="14" spans="2:42" ht="19.5" thickBot="1" x14ac:dyDescent="0.3">
      <c r="B14" s="37" t="s">
        <v>220</v>
      </c>
      <c r="C14" s="141" t="s">
        <v>163</v>
      </c>
      <c r="D14" s="141"/>
      <c r="F14" s="255" t="s">
        <v>203</v>
      </c>
      <c r="G14" s="255" t="s">
        <v>203</v>
      </c>
      <c r="H14" s="255" t="s">
        <v>228</v>
      </c>
      <c r="I14" s="255" t="s">
        <v>228</v>
      </c>
      <c r="J14" s="255" t="s">
        <v>203</v>
      </c>
      <c r="K14" s="255" t="s">
        <v>203</v>
      </c>
      <c r="L14" s="255" t="s">
        <v>203</v>
      </c>
      <c r="M14" s="255" t="s">
        <v>203</v>
      </c>
      <c r="N14" s="255" t="s">
        <v>203</v>
      </c>
      <c r="O14" s="255" t="s">
        <v>228</v>
      </c>
      <c r="P14" s="255" t="s">
        <v>228</v>
      </c>
      <c r="Q14" s="255" t="s">
        <v>203</v>
      </c>
      <c r="R14" s="255" t="s">
        <v>203</v>
      </c>
      <c r="S14" s="255" t="s">
        <v>203</v>
      </c>
      <c r="T14" s="255" t="s">
        <v>203</v>
      </c>
      <c r="U14" s="255" t="s">
        <v>203</v>
      </c>
      <c r="V14" s="255" t="s">
        <v>228</v>
      </c>
      <c r="W14" s="255" t="s">
        <v>228</v>
      </c>
      <c r="X14" s="255" t="s">
        <v>203</v>
      </c>
      <c r="Y14" s="255" t="s">
        <v>203</v>
      </c>
      <c r="Z14" s="255" t="s">
        <v>203</v>
      </c>
      <c r="AA14" s="255" t="s">
        <v>203</v>
      </c>
      <c r="AB14" s="255" t="s">
        <v>203</v>
      </c>
      <c r="AC14" s="255" t="s">
        <v>228</v>
      </c>
      <c r="AD14" s="255" t="s">
        <v>228</v>
      </c>
      <c r="AE14" s="255" t="s">
        <v>203</v>
      </c>
      <c r="AF14" s="255" t="s">
        <v>203</v>
      </c>
      <c r="AG14" s="255" t="s">
        <v>203</v>
      </c>
      <c r="AH14" s="255" t="s">
        <v>203</v>
      </c>
      <c r="AI14" s="255" t="s">
        <v>203</v>
      </c>
      <c r="AJ14" s="61"/>
      <c r="AL14" s="51">
        <f t="shared" si="5"/>
        <v>0</v>
      </c>
      <c r="AM14" s="51">
        <f t="shared" si="6"/>
        <v>22</v>
      </c>
      <c r="AN14" s="51">
        <f t="shared" si="7"/>
        <v>0</v>
      </c>
      <c r="AO14" s="51">
        <f t="shared" si="8"/>
        <v>0</v>
      </c>
      <c r="AP14" s="51">
        <f t="shared" si="9"/>
        <v>8</v>
      </c>
    </row>
    <row r="15" spans="2:42" ht="18.75" x14ac:dyDescent="0.25">
      <c r="B15" s="37" t="s">
        <v>221</v>
      </c>
      <c r="C15" s="137" t="s">
        <v>199</v>
      </c>
      <c r="D15" s="173"/>
      <c r="E15" s="93"/>
      <c r="F15" s="253" t="s">
        <v>228</v>
      </c>
      <c r="G15" s="253" t="s">
        <v>203</v>
      </c>
      <c r="H15" s="256" t="s">
        <v>203</v>
      </c>
      <c r="I15" s="253" t="s">
        <v>203</v>
      </c>
      <c r="J15" s="253" t="s">
        <v>204</v>
      </c>
      <c r="K15" s="253" t="s">
        <v>227</v>
      </c>
      <c r="L15" s="253" t="s">
        <v>228</v>
      </c>
      <c r="M15" s="253" t="s">
        <v>228</v>
      </c>
      <c r="N15" s="253" t="s">
        <v>228</v>
      </c>
      <c r="O15" s="256" t="s">
        <v>229</v>
      </c>
      <c r="P15" s="256" t="s">
        <v>229</v>
      </c>
      <c r="Q15" s="253" t="s">
        <v>229</v>
      </c>
      <c r="R15" s="253" t="s">
        <v>229</v>
      </c>
      <c r="S15" s="253" t="s">
        <v>229</v>
      </c>
      <c r="T15" s="253" t="s">
        <v>229</v>
      </c>
      <c r="U15" s="253" t="s">
        <v>229</v>
      </c>
      <c r="V15" s="253" t="s">
        <v>229</v>
      </c>
      <c r="W15" s="256" t="s">
        <v>229</v>
      </c>
      <c r="X15" s="253" t="s">
        <v>229</v>
      </c>
      <c r="Y15" s="253" t="s">
        <v>229</v>
      </c>
      <c r="Z15" s="253" t="s">
        <v>229</v>
      </c>
      <c r="AA15" s="253" t="s">
        <v>229</v>
      </c>
      <c r="AB15" s="253" t="s">
        <v>229</v>
      </c>
      <c r="AC15" s="253" t="s">
        <v>228</v>
      </c>
      <c r="AD15" s="253" t="s">
        <v>228</v>
      </c>
      <c r="AE15" s="253" t="s">
        <v>126</v>
      </c>
      <c r="AF15" s="256" t="s">
        <v>203</v>
      </c>
      <c r="AG15" s="253" t="s">
        <v>203</v>
      </c>
      <c r="AH15" s="253" t="s">
        <v>204</v>
      </c>
      <c r="AI15" s="253" t="s">
        <v>227</v>
      </c>
      <c r="AJ15" s="43"/>
      <c r="AL15" s="51">
        <f>COUNTIF($F15:$AJ15,"ST*")</f>
        <v>0</v>
      </c>
      <c r="AM15" s="51">
        <f>COUNTIF($F15:$AJ15,"M*")</f>
        <v>5</v>
      </c>
      <c r="AN15" s="51">
        <f>COUNTIF($F15:$AJ15,"A*")</f>
        <v>2</v>
      </c>
      <c r="AO15" s="51">
        <f>COUNTIF($F15:$AJ15,"N*")</f>
        <v>2</v>
      </c>
      <c r="AP15" s="51">
        <f>COUNTIF($F15:$AJ15,"O*")</f>
        <v>6</v>
      </c>
    </row>
    <row r="16" spans="2:42" ht="18.75" x14ac:dyDescent="0.25">
      <c r="B16" s="41" t="s">
        <v>221</v>
      </c>
      <c r="C16" s="137" t="s">
        <v>188</v>
      </c>
      <c r="D16" s="173"/>
      <c r="E16" s="93"/>
      <c r="F16" s="252" t="s">
        <v>203</v>
      </c>
      <c r="G16" s="252" t="s">
        <v>204</v>
      </c>
      <c r="H16" s="252" t="s">
        <v>204</v>
      </c>
      <c r="I16" s="252" t="s">
        <v>204</v>
      </c>
      <c r="J16" s="252" t="s">
        <v>227</v>
      </c>
      <c r="K16" s="252" t="s">
        <v>228</v>
      </c>
      <c r="L16" s="252" t="s">
        <v>228</v>
      </c>
      <c r="M16" s="252" t="s">
        <v>228</v>
      </c>
      <c r="N16" s="252" t="s">
        <v>203</v>
      </c>
      <c r="O16" s="252" t="s">
        <v>203</v>
      </c>
      <c r="P16" s="252" t="s">
        <v>204</v>
      </c>
      <c r="Q16" s="252" t="s">
        <v>204</v>
      </c>
      <c r="R16" s="252" t="s">
        <v>227</v>
      </c>
      <c r="S16" s="252" t="s">
        <v>228</v>
      </c>
      <c r="T16" s="252" t="s">
        <v>228</v>
      </c>
      <c r="U16" s="252" t="s">
        <v>228</v>
      </c>
      <c r="V16" s="252" t="s">
        <v>203</v>
      </c>
      <c r="W16" s="252" t="s">
        <v>203</v>
      </c>
      <c r="X16" s="252" t="s">
        <v>204</v>
      </c>
      <c r="Y16" s="252" t="s">
        <v>204</v>
      </c>
      <c r="Z16" s="252" t="s">
        <v>227</v>
      </c>
      <c r="AA16" s="252" t="s">
        <v>228</v>
      </c>
      <c r="AB16" s="252" t="s">
        <v>228</v>
      </c>
      <c r="AC16" s="252" t="s">
        <v>228</v>
      </c>
      <c r="AD16" s="252" t="s">
        <v>203</v>
      </c>
      <c r="AE16" s="252" t="s">
        <v>204</v>
      </c>
      <c r="AF16" s="252" t="s">
        <v>204</v>
      </c>
      <c r="AG16" s="252" t="s">
        <v>227</v>
      </c>
      <c r="AH16" s="252" t="s">
        <v>227</v>
      </c>
      <c r="AI16" s="252" t="s">
        <v>228</v>
      </c>
      <c r="AJ16" s="52"/>
      <c r="AL16" s="51">
        <f t="shared" ref="AL16:AL29" si="10">COUNTIF($F16:$AJ16,"ST*")</f>
        <v>0</v>
      </c>
      <c r="AM16" s="51">
        <f t="shared" ref="AM16:AM29" si="11">COUNTIF($F16:$AJ16,"M*")</f>
        <v>6</v>
      </c>
      <c r="AN16" s="51">
        <f t="shared" ref="AN16:AN29" si="12">COUNTIF($F16:$AJ16,"A*")</f>
        <v>9</v>
      </c>
      <c r="AO16" s="51">
        <f t="shared" ref="AO16:AO29" si="13">COUNTIF($F16:$AJ16,"N*")</f>
        <v>5</v>
      </c>
      <c r="AP16" s="51">
        <f t="shared" ref="AP16:AP29" si="14">COUNTIF($F16:$AJ16,"O*")</f>
        <v>10</v>
      </c>
    </row>
    <row r="17" spans="2:42" ht="18.75" x14ac:dyDescent="0.25">
      <c r="B17" s="41" t="s">
        <v>221</v>
      </c>
      <c r="C17" s="137" t="s">
        <v>189</v>
      </c>
      <c r="D17" s="173"/>
      <c r="E17" s="93"/>
      <c r="F17" s="257" t="s">
        <v>204</v>
      </c>
      <c r="G17" s="252" t="s">
        <v>204</v>
      </c>
      <c r="H17" s="252" t="s">
        <v>227</v>
      </c>
      <c r="I17" s="252" t="s">
        <v>227</v>
      </c>
      <c r="J17" s="252" t="s">
        <v>228</v>
      </c>
      <c r="K17" s="252" t="s">
        <v>228</v>
      </c>
      <c r="L17" s="252" t="s">
        <v>228</v>
      </c>
      <c r="M17" s="252" t="s">
        <v>203</v>
      </c>
      <c r="N17" s="257" t="s">
        <v>203</v>
      </c>
      <c r="O17" s="252" t="s">
        <v>204</v>
      </c>
      <c r="P17" s="252" t="s">
        <v>204</v>
      </c>
      <c r="Q17" s="252" t="s">
        <v>227</v>
      </c>
      <c r="R17" s="252" t="s">
        <v>228</v>
      </c>
      <c r="S17" s="252" t="s">
        <v>228</v>
      </c>
      <c r="T17" s="252" t="s">
        <v>228</v>
      </c>
      <c r="U17" s="252" t="s">
        <v>203</v>
      </c>
      <c r="V17" s="257" t="s">
        <v>203</v>
      </c>
      <c r="W17" s="252" t="s">
        <v>204</v>
      </c>
      <c r="X17" s="252" t="s">
        <v>227</v>
      </c>
      <c r="Y17" s="252" t="s">
        <v>227</v>
      </c>
      <c r="Z17" s="252" t="s">
        <v>228</v>
      </c>
      <c r="AA17" s="252" t="s">
        <v>228</v>
      </c>
      <c r="AB17" s="252" t="s">
        <v>228</v>
      </c>
      <c r="AC17" s="252" t="s">
        <v>203</v>
      </c>
      <c r="AD17" s="257" t="s">
        <v>203</v>
      </c>
      <c r="AE17" s="252" t="s">
        <v>204</v>
      </c>
      <c r="AF17" s="252" t="s">
        <v>227</v>
      </c>
      <c r="AG17" s="252" t="s">
        <v>227</v>
      </c>
      <c r="AH17" s="252" t="s">
        <v>228</v>
      </c>
      <c r="AI17" s="252" t="s">
        <v>228</v>
      </c>
      <c r="AJ17" s="52"/>
      <c r="AL17" s="51">
        <f t="shared" si="10"/>
        <v>0</v>
      </c>
      <c r="AM17" s="51">
        <f t="shared" si="11"/>
        <v>6</v>
      </c>
      <c r="AN17" s="51">
        <f t="shared" si="12"/>
        <v>6</v>
      </c>
      <c r="AO17" s="51">
        <f t="shared" si="13"/>
        <v>7</v>
      </c>
      <c r="AP17" s="51">
        <f t="shared" si="14"/>
        <v>11</v>
      </c>
    </row>
    <row r="18" spans="2:42" ht="18.75" x14ac:dyDescent="0.25">
      <c r="B18" s="41" t="s">
        <v>221</v>
      </c>
      <c r="C18" s="137" t="s">
        <v>190</v>
      </c>
      <c r="D18" s="173"/>
      <c r="E18" s="93"/>
      <c r="F18" s="252" t="s">
        <v>204</v>
      </c>
      <c r="G18" s="252" t="s">
        <v>227</v>
      </c>
      <c r="H18" s="252" t="s">
        <v>227</v>
      </c>
      <c r="I18" s="252" t="s">
        <v>228</v>
      </c>
      <c r="J18" s="252" t="s">
        <v>228</v>
      </c>
      <c r="K18" s="252" t="s">
        <v>228</v>
      </c>
      <c r="L18" s="252" t="s">
        <v>203</v>
      </c>
      <c r="M18" s="257" t="s">
        <v>126</v>
      </c>
      <c r="N18" s="252" t="s">
        <v>204</v>
      </c>
      <c r="O18" s="252" t="s">
        <v>204</v>
      </c>
      <c r="P18" s="252" t="s">
        <v>227</v>
      </c>
      <c r="Q18" s="252" t="s">
        <v>228</v>
      </c>
      <c r="R18" s="252" t="s">
        <v>228</v>
      </c>
      <c r="S18" s="252" t="s">
        <v>228</v>
      </c>
      <c r="T18" s="252" t="s">
        <v>203</v>
      </c>
      <c r="U18" s="257" t="s">
        <v>203</v>
      </c>
      <c r="V18" s="252" t="s">
        <v>204</v>
      </c>
      <c r="W18" s="252" t="s">
        <v>227</v>
      </c>
      <c r="X18" s="252" t="s">
        <v>227</v>
      </c>
      <c r="Y18" s="252" t="s">
        <v>228</v>
      </c>
      <c r="Z18" s="252" t="s">
        <v>228</v>
      </c>
      <c r="AA18" s="252" t="s">
        <v>228</v>
      </c>
      <c r="AB18" s="252" t="s">
        <v>203</v>
      </c>
      <c r="AC18" s="257" t="s">
        <v>203</v>
      </c>
      <c r="AD18" s="252" t="s">
        <v>204</v>
      </c>
      <c r="AE18" s="252" t="s">
        <v>227</v>
      </c>
      <c r="AF18" s="252" t="s">
        <v>227</v>
      </c>
      <c r="AG18" s="252" t="s">
        <v>228</v>
      </c>
      <c r="AH18" s="252" t="s">
        <v>228</v>
      </c>
      <c r="AI18" s="252" t="s">
        <v>228</v>
      </c>
      <c r="AJ18" s="52"/>
      <c r="AL18" s="51">
        <f t="shared" si="10"/>
        <v>0</v>
      </c>
      <c r="AM18" s="51">
        <f t="shared" si="11"/>
        <v>5</v>
      </c>
      <c r="AN18" s="51">
        <f t="shared" si="12"/>
        <v>5</v>
      </c>
      <c r="AO18" s="51">
        <f t="shared" si="13"/>
        <v>7</v>
      </c>
      <c r="AP18" s="51">
        <f t="shared" si="14"/>
        <v>12</v>
      </c>
    </row>
    <row r="19" spans="2:42" ht="18.75" x14ac:dyDescent="0.25">
      <c r="B19" s="41" t="s">
        <v>221</v>
      </c>
      <c r="C19" s="137" t="s">
        <v>191</v>
      </c>
      <c r="D19" s="173"/>
      <c r="E19" s="93"/>
      <c r="F19" s="252" t="s">
        <v>204</v>
      </c>
      <c r="G19" s="252" t="s">
        <v>227</v>
      </c>
      <c r="H19" s="252" t="s">
        <v>228</v>
      </c>
      <c r="I19" s="252" t="s">
        <v>228</v>
      </c>
      <c r="J19" s="252" t="s">
        <v>228</v>
      </c>
      <c r="K19" s="252" t="s">
        <v>126</v>
      </c>
      <c r="L19" s="257" t="s">
        <v>203</v>
      </c>
      <c r="M19" s="252" t="s">
        <v>204</v>
      </c>
      <c r="N19" s="252" t="s">
        <v>204</v>
      </c>
      <c r="O19" s="252" t="s">
        <v>227</v>
      </c>
      <c r="P19" s="252" t="s">
        <v>228</v>
      </c>
      <c r="Q19" s="252" t="s">
        <v>228</v>
      </c>
      <c r="R19" s="252" t="s">
        <v>228</v>
      </c>
      <c r="S19" s="252" t="s">
        <v>203</v>
      </c>
      <c r="T19" s="257" t="s">
        <v>203</v>
      </c>
      <c r="U19" s="252" t="s">
        <v>204</v>
      </c>
      <c r="V19" s="252" t="s">
        <v>204</v>
      </c>
      <c r="W19" s="252" t="s">
        <v>227</v>
      </c>
      <c r="X19" s="252" t="s">
        <v>228</v>
      </c>
      <c r="Y19" s="252" t="s">
        <v>228</v>
      </c>
      <c r="Z19" s="252" t="s">
        <v>228</v>
      </c>
      <c r="AA19" s="252" t="s">
        <v>203</v>
      </c>
      <c r="AB19" s="257" t="s">
        <v>204</v>
      </c>
      <c r="AC19" s="252" t="s">
        <v>204</v>
      </c>
      <c r="AD19" s="252" t="s">
        <v>227</v>
      </c>
      <c r="AE19" s="252" t="s">
        <v>227</v>
      </c>
      <c r="AF19" s="252" t="s">
        <v>228</v>
      </c>
      <c r="AG19" s="252" t="s">
        <v>228</v>
      </c>
      <c r="AH19" s="252" t="s">
        <v>228</v>
      </c>
      <c r="AI19" s="252" t="s">
        <v>203</v>
      </c>
      <c r="AJ19" s="94"/>
      <c r="AL19" s="51">
        <f t="shared" si="10"/>
        <v>0</v>
      </c>
      <c r="AM19" s="51">
        <f t="shared" si="11"/>
        <v>5</v>
      </c>
      <c r="AN19" s="51">
        <f t="shared" si="12"/>
        <v>7</v>
      </c>
      <c r="AO19" s="51">
        <f t="shared" si="13"/>
        <v>5</v>
      </c>
      <c r="AP19" s="51">
        <f t="shared" si="14"/>
        <v>12</v>
      </c>
    </row>
    <row r="20" spans="2:42" ht="18.75" x14ac:dyDescent="0.25">
      <c r="B20" s="41" t="s">
        <v>221</v>
      </c>
      <c r="C20" s="137" t="s">
        <v>192</v>
      </c>
      <c r="D20" s="173"/>
      <c r="E20" s="93"/>
      <c r="F20" s="252" t="s">
        <v>227</v>
      </c>
      <c r="G20" s="252" t="s">
        <v>228</v>
      </c>
      <c r="H20" s="252" t="s">
        <v>228</v>
      </c>
      <c r="I20" s="252" t="s">
        <v>228</v>
      </c>
      <c r="J20" s="257" t="s">
        <v>203</v>
      </c>
      <c r="K20" s="252" t="s">
        <v>204</v>
      </c>
      <c r="L20" s="252" t="s">
        <v>227</v>
      </c>
      <c r="M20" s="252" t="s">
        <v>227</v>
      </c>
      <c r="N20" s="252" t="s">
        <v>227</v>
      </c>
      <c r="O20" s="252" t="s">
        <v>228</v>
      </c>
      <c r="P20" s="252" t="s">
        <v>228</v>
      </c>
      <c r="Q20" s="252" t="s">
        <v>228</v>
      </c>
      <c r="R20" s="257" t="s">
        <v>203</v>
      </c>
      <c r="S20" s="252" t="s">
        <v>204</v>
      </c>
      <c r="T20" s="252" t="s">
        <v>204</v>
      </c>
      <c r="U20" s="252" t="s">
        <v>204</v>
      </c>
      <c r="V20" s="252" t="s">
        <v>227</v>
      </c>
      <c r="W20" s="252" t="s">
        <v>228</v>
      </c>
      <c r="X20" s="252" t="s">
        <v>228</v>
      </c>
      <c r="Y20" s="252" t="s">
        <v>228</v>
      </c>
      <c r="Z20" s="252" t="s">
        <v>203</v>
      </c>
      <c r="AA20" s="257" t="s">
        <v>203</v>
      </c>
      <c r="AB20" s="252" t="s">
        <v>204</v>
      </c>
      <c r="AC20" s="252" t="s">
        <v>204</v>
      </c>
      <c r="AD20" s="252" t="s">
        <v>227</v>
      </c>
      <c r="AE20" s="252" t="s">
        <v>228</v>
      </c>
      <c r="AF20" s="252" t="s">
        <v>228</v>
      </c>
      <c r="AG20" s="252" t="s">
        <v>228</v>
      </c>
      <c r="AH20" s="257" t="s">
        <v>203</v>
      </c>
      <c r="AI20" s="252" t="s">
        <v>204</v>
      </c>
      <c r="AJ20" s="52"/>
      <c r="AL20" s="51">
        <f t="shared" si="10"/>
        <v>0</v>
      </c>
      <c r="AM20" s="51">
        <f t="shared" si="11"/>
        <v>5</v>
      </c>
      <c r="AN20" s="51">
        <f t="shared" si="12"/>
        <v>7</v>
      </c>
      <c r="AO20" s="51">
        <f t="shared" si="13"/>
        <v>6</v>
      </c>
      <c r="AP20" s="51">
        <f t="shared" si="14"/>
        <v>12</v>
      </c>
    </row>
    <row r="21" spans="2:42" ht="18.75" x14ac:dyDescent="0.25">
      <c r="B21" s="41" t="s">
        <v>221</v>
      </c>
      <c r="C21" s="137" t="s">
        <v>193</v>
      </c>
      <c r="D21" s="173"/>
      <c r="E21" s="93"/>
      <c r="F21" s="252" t="s">
        <v>228</v>
      </c>
      <c r="G21" s="252" t="s">
        <v>228</v>
      </c>
      <c r="H21" s="252" t="s">
        <v>228</v>
      </c>
      <c r="I21" s="257" t="s">
        <v>229</v>
      </c>
      <c r="J21" s="252" t="s">
        <v>229</v>
      </c>
      <c r="K21" s="252" t="s">
        <v>229</v>
      </c>
      <c r="L21" s="252" t="s">
        <v>229</v>
      </c>
      <c r="M21" s="252" t="s">
        <v>229</v>
      </c>
      <c r="N21" s="252" t="s">
        <v>229</v>
      </c>
      <c r="O21" s="252" t="s">
        <v>228</v>
      </c>
      <c r="P21" s="252" t="s">
        <v>228</v>
      </c>
      <c r="Q21" s="252" t="s">
        <v>203</v>
      </c>
      <c r="R21" s="252" t="s">
        <v>203</v>
      </c>
      <c r="S21" s="252" t="s">
        <v>204</v>
      </c>
      <c r="T21" s="252" t="s">
        <v>126</v>
      </c>
      <c r="U21" s="252" t="s">
        <v>126</v>
      </c>
      <c r="V21" s="252" t="s">
        <v>228</v>
      </c>
      <c r="W21" s="252" t="s">
        <v>228</v>
      </c>
      <c r="X21" s="252" t="s">
        <v>228</v>
      </c>
      <c r="Y21" s="252" t="s">
        <v>203</v>
      </c>
      <c r="Z21" s="257" t="s">
        <v>203</v>
      </c>
      <c r="AA21" s="252" t="s">
        <v>204</v>
      </c>
      <c r="AB21" s="252" t="s">
        <v>227</v>
      </c>
      <c r="AC21" s="252" t="s">
        <v>227</v>
      </c>
      <c r="AD21" s="252" t="s">
        <v>228</v>
      </c>
      <c r="AE21" s="252" t="s">
        <v>228</v>
      </c>
      <c r="AF21" s="252" t="s">
        <v>228</v>
      </c>
      <c r="AG21" s="257" t="s">
        <v>203</v>
      </c>
      <c r="AH21" s="252" t="s">
        <v>204</v>
      </c>
      <c r="AI21" s="252" t="s">
        <v>204</v>
      </c>
      <c r="AJ21" s="52"/>
      <c r="AL21" s="51">
        <f t="shared" si="10"/>
        <v>0</v>
      </c>
      <c r="AM21" s="51">
        <f t="shared" si="11"/>
        <v>5</v>
      </c>
      <c r="AN21" s="51">
        <f t="shared" si="12"/>
        <v>4</v>
      </c>
      <c r="AO21" s="51">
        <f t="shared" si="13"/>
        <v>2</v>
      </c>
      <c r="AP21" s="51">
        <f t="shared" si="14"/>
        <v>11</v>
      </c>
    </row>
    <row r="22" spans="2:42" ht="18.75" x14ac:dyDescent="0.25">
      <c r="B22" s="41" t="s">
        <v>221</v>
      </c>
      <c r="C22" s="137" t="s">
        <v>194</v>
      </c>
      <c r="D22" s="173"/>
      <c r="E22" s="93"/>
      <c r="F22" s="252" t="s">
        <v>228</v>
      </c>
      <c r="G22" s="252" t="s">
        <v>228</v>
      </c>
      <c r="H22" s="252" t="s">
        <v>203</v>
      </c>
      <c r="I22" s="252" t="s">
        <v>203</v>
      </c>
      <c r="J22" s="252" t="s">
        <v>204</v>
      </c>
      <c r="K22" s="252" t="s">
        <v>204</v>
      </c>
      <c r="L22" s="252" t="s">
        <v>227</v>
      </c>
      <c r="M22" s="252" t="s">
        <v>228</v>
      </c>
      <c r="N22" s="252" t="s">
        <v>228</v>
      </c>
      <c r="O22" s="252" t="s">
        <v>228</v>
      </c>
      <c r="P22" s="257" t="s">
        <v>203</v>
      </c>
      <c r="Q22" s="257" t="s">
        <v>203</v>
      </c>
      <c r="R22" s="252" t="s">
        <v>204</v>
      </c>
      <c r="S22" s="252" t="s">
        <v>227</v>
      </c>
      <c r="T22" s="252" t="s">
        <v>227</v>
      </c>
      <c r="U22" s="252" t="s">
        <v>228</v>
      </c>
      <c r="V22" s="252" t="s">
        <v>228</v>
      </c>
      <c r="W22" s="252" t="s">
        <v>228</v>
      </c>
      <c r="X22" s="257" t="s">
        <v>203</v>
      </c>
      <c r="Y22" s="257" t="s">
        <v>203</v>
      </c>
      <c r="Z22" s="252" t="s">
        <v>204</v>
      </c>
      <c r="AA22" s="252" t="s">
        <v>227</v>
      </c>
      <c r="AB22" s="252" t="s">
        <v>227</v>
      </c>
      <c r="AC22" s="252" t="s">
        <v>228</v>
      </c>
      <c r="AD22" s="252" t="s">
        <v>228</v>
      </c>
      <c r="AE22" s="252" t="s">
        <v>228</v>
      </c>
      <c r="AF22" s="252" t="s">
        <v>203</v>
      </c>
      <c r="AG22" s="252" t="s">
        <v>204</v>
      </c>
      <c r="AH22" s="252" t="s">
        <v>204</v>
      </c>
      <c r="AI22" s="252" t="s">
        <v>227</v>
      </c>
      <c r="AJ22" s="52"/>
      <c r="AL22" s="51">
        <f t="shared" si="10"/>
        <v>0</v>
      </c>
      <c r="AM22" s="51">
        <f t="shared" si="11"/>
        <v>7</v>
      </c>
      <c r="AN22" s="51">
        <f t="shared" si="12"/>
        <v>6</v>
      </c>
      <c r="AO22" s="51">
        <f t="shared" si="13"/>
        <v>6</v>
      </c>
      <c r="AP22" s="51">
        <f t="shared" si="14"/>
        <v>11</v>
      </c>
    </row>
    <row r="23" spans="2:42" ht="18.75" x14ac:dyDescent="0.25">
      <c r="B23" s="41" t="s">
        <v>221</v>
      </c>
      <c r="C23" s="137" t="s">
        <v>195</v>
      </c>
      <c r="D23" s="173"/>
      <c r="E23" s="93"/>
      <c r="F23" s="252" t="s">
        <v>228</v>
      </c>
      <c r="G23" s="252" t="s">
        <v>203</v>
      </c>
      <c r="H23" s="252" t="s">
        <v>203</v>
      </c>
      <c r="I23" s="252" t="s">
        <v>204</v>
      </c>
      <c r="J23" s="252" t="s">
        <v>204</v>
      </c>
      <c r="K23" s="252" t="s">
        <v>227</v>
      </c>
      <c r="L23" s="252" t="s">
        <v>228</v>
      </c>
      <c r="M23" s="252" t="s">
        <v>228</v>
      </c>
      <c r="N23" s="252" t="s">
        <v>228</v>
      </c>
      <c r="O23" s="252" t="s">
        <v>203</v>
      </c>
      <c r="P23" s="252" t="s">
        <v>203</v>
      </c>
      <c r="Q23" s="252" t="s">
        <v>204</v>
      </c>
      <c r="R23" s="252" t="s">
        <v>204</v>
      </c>
      <c r="S23" s="252" t="s">
        <v>227</v>
      </c>
      <c r="T23" s="252" t="s">
        <v>228</v>
      </c>
      <c r="U23" s="252" t="s">
        <v>228</v>
      </c>
      <c r="V23" s="252" t="s">
        <v>228</v>
      </c>
      <c r="W23" s="257" t="s">
        <v>203</v>
      </c>
      <c r="X23" s="257" t="s">
        <v>203</v>
      </c>
      <c r="Y23" s="252" t="s">
        <v>204</v>
      </c>
      <c r="Z23" s="252" t="s">
        <v>204</v>
      </c>
      <c r="AA23" s="252" t="s">
        <v>227</v>
      </c>
      <c r="AB23" s="252" t="s">
        <v>228</v>
      </c>
      <c r="AC23" s="252" t="s">
        <v>228</v>
      </c>
      <c r="AD23" s="252" t="s">
        <v>228</v>
      </c>
      <c r="AE23" s="252" t="s">
        <v>203</v>
      </c>
      <c r="AF23" s="252" t="s">
        <v>203</v>
      </c>
      <c r="AG23" s="252" t="s">
        <v>204</v>
      </c>
      <c r="AH23" s="252" t="s">
        <v>227</v>
      </c>
      <c r="AI23" s="252" t="s">
        <v>227</v>
      </c>
      <c r="AJ23" s="52"/>
      <c r="AL23" s="51">
        <f t="shared" si="10"/>
        <v>0</v>
      </c>
      <c r="AM23" s="51">
        <f t="shared" si="11"/>
        <v>8</v>
      </c>
      <c r="AN23" s="51">
        <f t="shared" si="12"/>
        <v>7</v>
      </c>
      <c r="AO23" s="51">
        <f t="shared" si="13"/>
        <v>5</v>
      </c>
      <c r="AP23" s="51">
        <f t="shared" si="14"/>
        <v>10</v>
      </c>
    </row>
    <row r="24" spans="2:42" ht="18.75" x14ac:dyDescent="0.25">
      <c r="B24" s="41" t="s">
        <v>221</v>
      </c>
      <c r="C24" s="137" t="s">
        <v>127</v>
      </c>
      <c r="D24" s="173"/>
      <c r="E24" s="93"/>
      <c r="F24" s="252" t="s">
        <v>203</v>
      </c>
      <c r="G24" s="257" t="s">
        <v>203</v>
      </c>
      <c r="H24" s="257" t="s">
        <v>204</v>
      </c>
      <c r="I24" s="252" t="s">
        <v>204</v>
      </c>
      <c r="J24" s="252" t="s">
        <v>227</v>
      </c>
      <c r="K24" s="252" t="s">
        <v>228</v>
      </c>
      <c r="L24" s="252" t="s">
        <v>228</v>
      </c>
      <c r="M24" s="252" t="s">
        <v>228</v>
      </c>
      <c r="N24" s="252" t="s">
        <v>203</v>
      </c>
      <c r="O24" s="257" t="s">
        <v>203</v>
      </c>
      <c r="P24" s="252" t="s">
        <v>204</v>
      </c>
      <c r="Q24" s="252" t="s">
        <v>204</v>
      </c>
      <c r="R24" s="252" t="s">
        <v>227</v>
      </c>
      <c r="S24" s="252" t="s">
        <v>228</v>
      </c>
      <c r="T24" s="252" t="s">
        <v>228</v>
      </c>
      <c r="U24" s="252" t="s">
        <v>228</v>
      </c>
      <c r="V24" s="252" t="s">
        <v>203</v>
      </c>
      <c r="W24" s="252" t="s">
        <v>203</v>
      </c>
      <c r="X24" s="252" t="s">
        <v>204</v>
      </c>
      <c r="Y24" s="252" t="s">
        <v>227</v>
      </c>
      <c r="Z24" s="252" t="s">
        <v>227</v>
      </c>
      <c r="AA24" s="252" t="s">
        <v>228</v>
      </c>
      <c r="AB24" s="252" t="s">
        <v>228</v>
      </c>
      <c r="AC24" s="252" t="s">
        <v>228</v>
      </c>
      <c r="AD24" s="252" t="s">
        <v>203</v>
      </c>
      <c r="AE24" s="257" t="s">
        <v>203</v>
      </c>
      <c r="AF24" s="257" t="s">
        <v>204</v>
      </c>
      <c r="AG24" s="252" t="s">
        <v>204</v>
      </c>
      <c r="AH24" s="252" t="s">
        <v>227</v>
      </c>
      <c r="AI24" s="252" t="s">
        <v>228</v>
      </c>
      <c r="AJ24" s="52"/>
      <c r="AL24" s="51">
        <f t="shared" si="10"/>
        <v>0</v>
      </c>
      <c r="AM24" s="51">
        <f t="shared" si="11"/>
        <v>8</v>
      </c>
      <c r="AN24" s="51">
        <f t="shared" si="12"/>
        <v>7</v>
      </c>
      <c r="AO24" s="51">
        <f t="shared" si="13"/>
        <v>5</v>
      </c>
      <c r="AP24" s="51">
        <f t="shared" si="14"/>
        <v>10</v>
      </c>
    </row>
    <row r="25" spans="2:42" ht="18.75" x14ac:dyDescent="0.25">
      <c r="B25" s="41" t="s">
        <v>221</v>
      </c>
      <c r="C25" s="137" t="s">
        <v>129</v>
      </c>
      <c r="D25" s="173"/>
      <c r="E25" s="93"/>
      <c r="F25" s="257" t="s">
        <v>203</v>
      </c>
      <c r="G25" s="257" t="s">
        <v>203</v>
      </c>
      <c r="H25" s="252" t="s">
        <v>204</v>
      </c>
      <c r="I25" s="252" t="s">
        <v>227</v>
      </c>
      <c r="J25" s="252" t="s">
        <v>228</v>
      </c>
      <c r="K25" s="252" t="s">
        <v>228</v>
      </c>
      <c r="L25" s="252" t="s">
        <v>228</v>
      </c>
      <c r="M25" s="252" t="s">
        <v>203</v>
      </c>
      <c r="N25" s="257" t="s">
        <v>204</v>
      </c>
      <c r="O25" s="252" t="s">
        <v>204</v>
      </c>
      <c r="P25" s="252" t="s">
        <v>227</v>
      </c>
      <c r="Q25" s="252" t="s">
        <v>227</v>
      </c>
      <c r="R25" s="252" t="s">
        <v>228</v>
      </c>
      <c r="S25" s="252" t="s">
        <v>228</v>
      </c>
      <c r="T25" s="252" t="s">
        <v>228</v>
      </c>
      <c r="U25" s="252" t="s">
        <v>203</v>
      </c>
      <c r="V25" s="257" t="s">
        <v>203</v>
      </c>
      <c r="W25" s="252" t="s">
        <v>204</v>
      </c>
      <c r="X25" s="252" t="s">
        <v>204</v>
      </c>
      <c r="Y25" s="252" t="s">
        <v>227</v>
      </c>
      <c r="Z25" s="252" t="s">
        <v>228</v>
      </c>
      <c r="AA25" s="252" t="s">
        <v>228</v>
      </c>
      <c r="AB25" s="252" t="s">
        <v>228</v>
      </c>
      <c r="AC25" s="257" t="s">
        <v>203</v>
      </c>
      <c r="AD25" s="257" t="s">
        <v>203</v>
      </c>
      <c r="AE25" s="257" t="s">
        <v>203</v>
      </c>
      <c r="AF25" s="252" t="s">
        <v>204</v>
      </c>
      <c r="AG25" s="252" t="s">
        <v>227</v>
      </c>
      <c r="AH25" s="252" t="s">
        <v>228</v>
      </c>
      <c r="AI25" s="252" t="s">
        <v>228</v>
      </c>
      <c r="AJ25" s="52"/>
      <c r="AL25" s="51">
        <f t="shared" si="10"/>
        <v>0</v>
      </c>
      <c r="AM25" s="51">
        <f t="shared" si="11"/>
        <v>8</v>
      </c>
      <c r="AN25" s="51">
        <f t="shared" si="12"/>
        <v>6</v>
      </c>
      <c r="AO25" s="51">
        <f t="shared" si="13"/>
        <v>5</v>
      </c>
      <c r="AP25" s="51">
        <f t="shared" si="14"/>
        <v>11</v>
      </c>
    </row>
    <row r="26" spans="2:42" ht="18.75" x14ac:dyDescent="0.25">
      <c r="B26" s="41" t="s">
        <v>221</v>
      </c>
      <c r="C26" s="137" t="s">
        <v>150</v>
      </c>
      <c r="D26" s="173"/>
      <c r="E26" s="93"/>
      <c r="F26" s="252" t="s">
        <v>126</v>
      </c>
      <c r="G26" s="252" t="s">
        <v>204</v>
      </c>
      <c r="H26" s="252" t="s">
        <v>227</v>
      </c>
      <c r="I26" s="252" t="s">
        <v>228</v>
      </c>
      <c r="J26" s="252" t="s">
        <v>228</v>
      </c>
      <c r="K26" s="252" t="s">
        <v>228</v>
      </c>
      <c r="L26" s="252" t="s">
        <v>229</v>
      </c>
      <c r="M26" s="257" t="s">
        <v>229</v>
      </c>
      <c r="N26" s="252" t="s">
        <v>229</v>
      </c>
      <c r="O26" s="252" t="s">
        <v>229</v>
      </c>
      <c r="P26" s="252" t="s">
        <v>229</v>
      </c>
      <c r="Q26" s="252" t="s">
        <v>229</v>
      </c>
      <c r="R26" s="252" t="s">
        <v>228</v>
      </c>
      <c r="S26" s="252" t="s">
        <v>228</v>
      </c>
      <c r="T26" s="252" t="s">
        <v>203</v>
      </c>
      <c r="U26" s="257" t="s">
        <v>203</v>
      </c>
      <c r="V26" s="252" t="s">
        <v>204</v>
      </c>
      <c r="W26" s="252" t="s">
        <v>204</v>
      </c>
      <c r="X26" s="252" t="s">
        <v>227</v>
      </c>
      <c r="Y26" s="252" t="s">
        <v>228</v>
      </c>
      <c r="Z26" s="252" t="s">
        <v>228</v>
      </c>
      <c r="AA26" s="252" t="s">
        <v>228</v>
      </c>
      <c r="AB26" s="252" t="s">
        <v>203</v>
      </c>
      <c r="AC26" s="252" t="s">
        <v>203</v>
      </c>
      <c r="AD26" s="252" t="s">
        <v>204</v>
      </c>
      <c r="AE26" s="252" t="s">
        <v>204</v>
      </c>
      <c r="AF26" s="252" t="s">
        <v>227</v>
      </c>
      <c r="AG26" s="252" t="s">
        <v>228</v>
      </c>
      <c r="AH26" s="252" t="s">
        <v>228</v>
      </c>
      <c r="AI26" s="252" t="s">
        <v>228</v>
      </c>
      <c r="AJ26" s="52"/>
      <c r="AL26" s="51">
        <f t="shared" si="10"/>
        <v>0</v>
      </c>
      <c r="AM26" s="51">
        <f t="shared" si="11"/>
        <v>4</v>
      </c>
      <c r="AN26" s="51">
        <f t="shared" si="12"/>
        <v>5</v>
      </c>
      <c r="AO26" s="51">
        <f t="shared" si="13"/>
        <v>3</v>
      </c>
      <c r="AP26" s="51">
        <f t="shared" si="14"/>
        <v>11</v>
      </c>
    </row>
    <row r="27" spans="2:42" ht="18.75" x14ac:dyDescent="0.25">
      <c r="B27" s="41" t="s">
        <v>221</v>
      </c>
      <c r="C27" s="137" t="s">
        <v>196</v>
      </c>
      <c r="D27" s="173"/>
      <c r="E27" s="93"/>
      <c r="F27" s="252" t="s">
        <v>227</v>
      </c>
      <c r="G27" s="252" t="s">
        <v>227</v>
      </c>
      <c r="H27" s="252" t="s">
        <v>228</v>
      </c>
      <c r="I27" s="252" t="s">
        <v>228</v>
      </c>
      <c r="J27" s="252" t="s">
        <v>228</v>
      </c>
      <c r="K27" s="257" t="s">
        <v>203</v>
      </c>
      <c r="L27" s="257" t="s">
        <v>126</v>
      </c>
      <c r="M27" s="252" t="s">
        <v>204</v>
      </c>
      <c r="N27" s="252" t="s">
        <v>227</v>
      </c>
      <c r="O27" s="252" t="s">
        <v>227</v>
      </c>
      <c r="P27" s="252" t="s">
        <v>228</v>
      </c>
      <c r="Q27" s="252" t="s">
        <v>228</v>
      </c>
      <c r="R27" s="252" t="s">
        <v>228</v>
      </c>
      <c r="S27" s="257" t="s">
        <v>203</v>
      </c>
      <c r="T27" s="257" t="s">
        <v>204</v>
      </c>
      <c r="U27" s="252" t="s">
        <v>204</v>
      </c>
      <c r="V27" s="252" t="s">
        <v>227</v>
      </c>
      <c r="W27" s="252" t="s">
        <v>227</v>
      </c>
      <c r="X27" s="252" t="s">
        <v>228</v>
      </c>
      <c r="Y27" s="252" t="s">
        <v>228</v>
      </c>
      <c r="Z27" s="252" t="s">
        <v>228</v>
      </c>
      <c r="AA27" s="252" t="s">
        <v>203</v>
      </c>
      <c r="AB27" s="257" t="s">
        <v>203</v>
      </c>
      <c r="AC27" s="252" t="s">
        <v>204</v>
      </c>
      <c r="AD27" s="252" t="s">
        <v>204</v>
      </c>
      <c r="AE27" s="252" t="s">
        <v>227</v>
      </c>
      <c r="AF27" s="252" t="s">
        <v>228</v>
      </c>
      <c r="AG27" s="252" t="s">
        <v>228</v>
      </c>
      <c r="AH27" s="252" t="s">
        <v>228</v>
      </c>
      <c r="AI27" s="257" t="s">
        <v>203</v>
      </c>
      <c r="AJ27" s="94"/>
      <c r="AL27" s="51">
        <f t="shared" si="10"/>
        <v>0</v>
      </c>
      <c r="AM27" s="51">
        <f t="shared" si="11"/>
        <v>5</v>
      </c>
      <c r="AN27" s="51">
        <f t="shared" si="12"/>
        <v>5</v>
      </c>
      <c r="AO27" s="51">
        <f t="shared" si="13"/>
        <v>7</v>
      </c>
      <c r="AP27" s="51">
        <f t="shared" si="14"/>
        <v>12</v>
      </c>
    </row>
    <row r="28" spans="2:42" ht="18.75" x14ac:dyDescent="0.25">
      <c r="B28" s="41" t="s">
        <v>221</v>
      </c>
      <c r="C28" s="137" t="s">
        <v>197</v>
      </c>
      <c r="D28" s="173"/>
      <c r="E28" s="93"/>
      <c r="F28" s="252" t="s">
        <v>227</v>
      </c>
      <c r="G28" s="252" t="s">
        <v>228</v>
      </c>
      <c r="H28" s="252" t="s">
        <v>228</v>
      </c>
      <c r="I28" s="252" t="s">
        <v>228</v>
      </c>
      <c r="J28" s="257" t="s">
        <v>203</v>
      </c>
      <c r="K28" s="257" t="s">
        <v>203</v>
      </c>
      <c r="L28" s="252" t="s">
        <v>204</v>
      </c>
      <c r="M28" s="252" t="s">
        <v>227</v>
      </c>
      <c r="N28" s="252" t="s">
        <v>227</v>
      </c>
      <c r="O28" s="252" t="s">
        <v>228</v>
      </c>
      <c r="P28" s="252" t="s">
        <v>228</v>
      </c>
      <c r="Q28" s="252" t="s">
        <v>228</v>
      </c>
      <c r="R28" s="257" t="s">
        <v>203</v>
      </c>
      <c r="S28" s="257" t="s">
        <v>203</v>
      </c>
      <c r="T28" s="252" t="s">
        <v>204</v>
      </c>
      <c r="U28" s="252" t="s">
        <v>227</v>
      </c>
      <c r="V28" s="252" t="s">
        <v>227</v>
      </c>
      <c r="W28" s="252" t="s">
        <v>228</v>
      </c>
      <c r="X28" s="252" t="s">
        <v>228</v>
      </c>
      <c r="Y28" s="252" t="s">
        <v>228</v>
      </c>
      <c r="Z28" s="252" t="s">
        <v>203</v>
      </c>
      <c r="AA28" s="257" t="s">
        <v>204</v>
      </c>
      <c r="AB28" s="252" t="s">
        <v>204</v>
      </c>
      <c r="AC28" s="252" t="s">
        <v>227</v>
      </c>
      <c r="AD28" s="252" t="s">
        <v>227</v>
      </c>
      <c r="AE28" s="252" t="s">
        <v>228</v>
      </c>
      <c r="AF28" s="252" t="s">
        <v>228</v>
      </c>
      <c r="AG28" s="252" t="s">
        <v>228</v>
      </c>
      <c r="AH28" s="257" t="s">
        <v>203</v>
      </c>
      <c r="AI28" s="257" t="s">
        <v>203</v>
      </c>
      <c r="AJ28" s="52"/>
      <c r="AL28" s="51">
        <f t="shared" si="10"/>
        <v>0</v>
      </c>
      <c r="AM28" s="51">
        <f t="shared" si="11"/>
        <v>7</v>
      </c>
      <c r="AN28" s="51">
        <f t="shared" si="12"/>
        <v>4</v>
      </c>
      <c r="AO28" s="51">
        <f t="shared" si="13"/>
        <v>7</v>
      </c>
      <c r="AP28" s="51">
        <f t="shared" si="14"/>
        <v>12</v>
      </c>
    </row>
    <row r="29" spans="2:42" ht="19.5" thickBot="1" x14ac:dyDescent="0.3">
      <c r="B29" s="41" t="s">
        <v>221</v>
      </c>
      <c r="C29" s="174" t="s">
        <v>198</v>
      </c>
      <c r="D29" s="175"/>
      <c r="E29" s="93"/>
      <c r="F29" s="250" t="s">
        <v>234</v>
      </c>
      <c r="G29" s="250" t="s">
        <v>234</v>
      </c>
      <c r="H29" s="250" t="s">
        <v>234</v>
      </c>
      <c r="I29" s="255" t="s">
        <v>203</v>
      </c>
      <c r="J29" s="255" t="s">
        <v>203</v>
      </c>
      <c r="K29" s="255" t="s">
        <v>204</v>
      </c>
      <c r="L29" s="255" t="s">
        <v>204</v>
      </c>
      <c r="M29" s="255" t="s">
        <v>227</v>
      </c>
      <c r="N29" s="255" t="s">
        <v>228</v>
      </c>
      <c r="O29" s="255" t="s">
        <v>228</v>
      </c>
      <c r="P29" s="255" t="s">
        <v>228</v>
      </c>
      <c r="Q29" s="255" t="s">
        <v>203</v>
      </c>
      <c r="R29" s="255" t="s">
        <v>204</v>
      </c>
      <c r="S29" s="255" t="s">
        <v>204</v>
      </c>
      <c r="T29" s="255" t="s">
        <v>227</v>
      </c>
      <c r="U29" s="255" t="s">
        <v>227</v>
      </c>
      <c r="V29" s="255" t="s">
        <v>228</v>
      </c>
      <c r="W29" s="255" t="s">
        <v>228</v>
      </c>
      <c r="X29" s="255" t="s">
        <v>228</v>
      </c>
      <c r="Y29" s="255" t="s">
        <v>203</v>
      </c>
      <c r="Z29" s="255" t="s">
        <v>204</v>
      </c>
      <c r="AA29" s="255" t="s">
        <v>126</v>
      </c>
      <c r="AB29" s="255" t="s">
        <v>227</v>
      </c>
      <c r="AC29" s="255" t="s">
        <v>227</v>
      </c>
      <c r="AD29" s="255" t="s">
        <v>228</v>
      </c>
      <c r="AE29" s="255" t="s">
        <v>228</v>
      </c>
      <c r="AF29" s="255" t="s">
        <v>228</v>
      </c>
      <c r="AG29" s="255" t="s">
        <v>203</v>
      </c>
      <c r="AH29" s="255" t="s">
        <v>203</v>
      </c>
      <c r="AI29" s="255" t="s">
        <v>204</v>
      </c>
      <c r="AJ29" s="61"/>
      <c r="AL29" s="51">
        <f t="shared" si="10"/>
        <v>0</v>
      </c>
      <c r="AM29" s="51">
        <f t="shared" si="11"/>
        <v>6</v>
      </c>
      <c r="AN29" s="51">
        <f t="shared" si="12"/>
        <v>6</v>
      </c>
      <c r="AO29" s="51">
        <f t="shared" si="13"/>
        <v>5</v>
      </c>
      <c r="AP29" s="51">
        <f t="shared" si="14"/>
        <v>9</v>
      </c>
    </row>
    <row r="30" spans="2:42" ht="18.75" x14ac:dyDescent="0.25">
      <c r="B30" s="37" t="s">
        <v>222</v>
      </c>
      <c r="C30" s="141" t="s">
        <v>128</v>
      </c>
      <c r="D30" s="141"/>
      <c r="E30" s="65"/>
      <c r="F30" s="253" t="s">
        <v>229</v>
      </c>
      <c r="G30" s="253" t="s">
        <v>229</v>
      </c>
      <c r="H30" s="253" t="s">
        <v>229</v>
      </c>
      <c r="I30" s="253" t="s">
        <v>229</v>
      </c>
      <c r="J30" s="253" t="s">
        <v>229</v>
      </c>
      <c r="K30" s="253" t="s">
        <v>229</v>
      </c>
      <c r="L30" s="253" t="s">
        <v>228</v>
      </c>
      <c r="M30" s="253" t="s">
        <v>228</v>
      </c>
      <c r="N30" s="253" t="s">
        <v>203</v>
      </c>
      <c r="O30" s="253" t="s">
        <v>203</v>
      </c>
      <c r="P30" s="253" t="s">
        <v>204</v>
      </c>
      <c r="Q30" s="253" t="s">
        <v>227</v>
      </c>
      <c r="R30" s="253" t="s">
        <v>227</v>
      </c>
      <c r="S30" s="253" t="s">
        <v>228</v>
      </c>
      <c r="T30" s="253" t="s">
        <v>228</v>
      </c>
      <c r="U30" s="253" t="s">
        <v>228</v>
      </c>
      <c r="V30" s="253" t="s">
        <v>203</v>
      </c>
      <c r="W30" s="253" t="s">
        <v>204</v>
      </c>
      <c r="X30" s="253" t="s">
        <v>204</v>
      </c>
      <c r="Y30" s="253" t="s">
        <v>227</v>
      </c>
      <c r="Z30" s="253" t="s">
        <v>227</v>
      </c>
      <c r="AA30" s="253" t="s">
        <v>228</v>
      </c>
      <c r="AB30" s="253" t="s">
        <v>228</v>
      </c>
      <c r="AC30" s="253" t="s">
        <v>228</v>
      </c>
      <c r="AD30" s="253" t="s">
        <v>203</v>
      </c>
      <c r="AE30" s="253" t="s">
        <v>204</v>
      </c>
      <c r="AF30" s="253" t="s">
        <v>204</v>
      </c>
      <c r="AG30" s="253" t="s">
        <v>227</v>
      </c>
      <c r="AH30" s="253" t="s">
        <v>227</v>
      </c>
      <c r="AI30" s="253" t="s">
        <v>228</v>
      </c>
      <c r="AJ30" s="43"/>
      <c r="AL30" s="51">
        <f t="shared" ref="AL30:AL82" si="15">COUNTIF($F30:$AJ30,"ST*")</f>
        <v>0</v>
      </c>
      <c r="AM30" s="51">
        <f t="shared" ref="AM30:AM80" si="16">COUNTIF($F30:$AJ30,"M*")</f>
        <v>4</v>
      </c>
      <c r="AN30" s="51">
        <f t="shared" ref="AN30:AN80" si="17">COUNTIF($F30:$AJ30,"A*")</f>
        <v>5</v>
      </c>
      <c r="AO30" s="51">
        <f t="shared" ref="AO30:AO80" si="18">COUNTIF($F30:$AJ30,"N*")</f>
        <v>6</v>
      </c>
      <c r="AP30" s="51">
        <f t="shared" ref="AP30:AP80" si="19">COUNTIF($F30:$AJ30,"O*")</f>
        <v>9</v>
      </c>
    </row>
    <row r="31" spans="2:42" ht="18.75" x14ac:dyDescent="0.25">
      <c r="B31" s="37" t="s">
        <v>222</v>
      </c>
      <c r="C31" s="141" t="s">
        <v>131</v>
      </c>
      <c r="D31" s="141"/>
      <c r="F31" s="252" t="s">
        <v>227</v>
      </c>
      <c r="G31" s="252" t="s">
        <v>227</v>
      </c>
      <c r="H31" s="252" t="s">
        <v>228</v>
      </c>
      <c r="I31" s="252" t="s">
        <v>228</v>
      </c>
      <c r="J31" s="252" t="s">
        <v>228</v>
      </c>
      <c r="K31" s="252" t="s">
        <v>203</v>
      </c>
      <c r="L31" s="252" t="s">
        <v>203</v>
      </c>
      <c r="M31" s="252" t="s">
        <v>204</v>
      </c>
      <c r="N31" s="252" t="s">
        <v>204</v>
      </c>
      <c r="O31" s="252" t="s">
        <v>227</v>
      </c>
      <c r="P31" s="252" t="s">
        <v>228</v>
      </c>
      <c r="Q31" s="252" t="s">
        <v>228</v>
      </c>
      <c r="R31" s="252" t="s">
        <v>228</v>
      </c>
      <c r="S31" s="252" t="s">
        <v>203</v>
      </c>
      <c r="T31" s="252" t="s">
        <v>203</v>
      </c>
      <c r="U31" s="252" t="s">
        <v>204</v>
      </c>
      <c r="V31" s="252" t="s">
        <v>204</v>
      </c>
      <c r="W31" s="252" t="s">
        <v>227</v>
      </c>
      <c r="X31" s="252" t="s">
        <v>228</v>
      </c>
      <c r="Y31" s="252" t="s">
        <v>228</v>
      </c>
      <c r="Z31" s="252" t="s">
        <v>228</v>
      </c>
      <c r="AA31" s="252" t="s">
        <v>203</v>
      </c>
      <c r="AB31" s="252" t="s">
        <v>203</v>
      </c>
      <c r="AC31" s="252" t="s">
        <v>204</v>
      </c>
      <c r="AD31" s="252" t="s">
        <v>227</v>
      </c>
      <c r="AE31" s="252" t="s">
        <v>227</v>
      </c>
      <c r="AF31" s="252" t="s">
        <v>228</v>
      </c>
      <c r="AG31" s="252" t="s">
        <v>228</v>
      </c>
      <c r="AH31" s="252" t="s">
        <v>228</v>
      </c>
      <c r="AI31" s="252" t="s">
        <v>203</v>
      </c>
      <c r="AJ31" s="52"/>
      <c r="AL31" s="51">
        <f t="shared" si="15"/>
        <v>0</v>
      </c>
      <c r="AM31" s="51">
        <f t="shared" si="16"/>
        <v>7</v>
      </c>
      <c r="AN31" s="51">
        <f t="shared" si="17"/>
        <v>5</v>
      </c>
      <c r="AO31" s="51">
        <f t="shared" si="18"/>
        <v>6</v>
      </c>
      <c r="AP31" s="51">
        <f t="shared" si="19"/>
        <v>12</v>
      </c>
    </row>
    <row r="32" spans="2:42" ht="18.75" x14ac:dyDescent="0.25">
      <c r="B32" s="37" t="s">
        <v>222</v>
      </c>
      <c r="C32" s="141" t="s">
        <v>132</v>
      </c>
      <c r="D32" s="141"/>
      <c r="F32" s="252" t="s">
        <v>126</v>
      </c>
      <c r="G32" s="252" t="s">
        <v>228</v>
      </c>
      <c r="H32" s="252" t="s">
        <v>228</v>
      </c>
      <c r="I32" s="252" t="s">
        <v>228</v>
      </c>
      <c r="J32" s="252" t="s">
        <v>203</v>
      </c>
      <c r="K32" s="252" t="s">
        <v>204</v>
      </c>
      <c r="L32" s="252" t="s">
        <v>204</v>
      </c>
      <c r="M32" s="252" t="s">
        <v>227</v>
      </c>
      <c r="N32" s="252" t="s">
        <v>227</v>
      </c>
      <c r="O32" s="252" t="s">
        <v>228</v>
      </c>
      <c r="P32" s="252" t="s">
        <v>228</v>
      </c>
      <c r="Q32" s="252" t="s">
        <v>228</v>
      </c>
      <c r="R32" s="252" t="s">
        <v>203</v>
      </c>
      <c r="S32" s="252" t="s">
        <v>204</v>
      </c>
      <c r="T32" s="252" t="s">
        <v>204</v>
      </c>
      <c r="U32" s="252" t="s">
        <v>227</v>
      </c>
      <c r="V32" s="252" t="s">
        <v>227</v>
      </c>
      <c r="W32" s="252" t="s">
        <v>228</v>
      </c>
      <c r="X32" s="252" t="s">
        <v>228</v>
      </c>
      <c r="Y32" s="252" t="s">
        <v>228</v>
      </c>
      <c r="Z32" s="252" t="s">
        <v>203</v>
      </c>
      <c r="AA32" s="252" t="s">
        <v>203</v>
      </c>
      <c r="AB32" s="252" t="s">
        <v>204</v>
      </c>
      <c r="AC32" s="252" t="s">
        <v>204</v>
      </c>
      <c r="AD32" s="252" t="s">
        <v>227</v>
      </c>
      <c r="AE32" s="252" t="s">
        <v>228</v>
      </c>
      <c r="AF32" s="252" t="s">
        <v>228</v>
      </c>
      <c r="AG32" s="252" t="s">
        <v>228</v>
      </c>
      <c r="AH32" s="252" t="s">
        <v>203</v>
      </c>
      <c r="AI32" s="252" t="s">
        <v>203</v>
      </c>
      <c r="AJ32" s="52"/>
      <c r="AL32" s="51">
        <f t="shared" si="15"/>
        <v>0</v>
      </c>
      <c r="AM32" s="51">
        <f t="shared" si="16"/>
        <v>6</v>
      </c>
      <c r="AN32" s="51">
        <f t="shared" si="17"/>
        <v>6</v>
      </c>
      <c r="AO32" s="51">
        <f t="shared" si="18"/>
        <v>5</v>
      </c>
      <c r="AP32" s="51">
        <f t="shared" si="19"/>
        <v>12</v>
      </c>
    </row>
    <row r="33" spans="2:42" ht="18.75" x14ac:dyDescent="0.25">
      <c r="B33" s="37" t="s">
        <v>222</v>
      </c>
      <c r="C33" s="141" t="s">
        <v>133</v>
      </c>
      <c r="D33" s="141"/>
      <c r="F33" s="252" t="s">
        <v>229</v>
      </c>
      <c r="G33" s="252" t="s">
        <v>228</v>
      </c>
      <c r="H33" s="252" t="s">
        <v>228</v>
      </c>
      <c r="I33" s="252" t="s">
        <v>203</v>
      </c>
      <c r="J33" s="252" t="s">
        <v>203</v>
      </c>
      <c r="K33" s="252" t="s">
        <v>204</v>
      </c>
      <c r="L33" s="252" t="s">
        <v>227</v>
      </c>
      <c r="M33" s="252" t="s">
        <v>227</v>
      </c>
      <c r="N33" s="252" t="s">
        <v>228</v>
      </c>
      <c r="O33" s="252" t="s">
        <v>228</v>
      </c>
      <c r="P33" s="252" t="s">
        <v>228</v>
      </c>
      <c r="Q33" s="252" t="s">
        <v>203</v>
      </c>
      <c r="R33" s="252" t="s">
        <v>203</v>
      </c>
      <c r="S33" s="252" t="s">
        <v>204</v>
      </c>
      <c r="T33" s="252" t="s">
        <v>227</v>
      </c>
      <c r="U33" s="252" t="s">
        <v>227</v>
      </c>
      <c r="V33" s="252" t="s">
        <v>228</v>
      </c>
      <c r="W33" s="252" t="s">
        <v>228</v>
      </c>
      <c r="X33" s="252" t="s">
        <v>228</v>
      </c>
      <c r="Y33" s="252" t="s">
        <v>203</v>
      </c>
      <c r="Z33" s="252" t="s">
        <v>203</v>
      </c>
      <c r="AA33" s="252" t="s">
        <v>204</v>
      </c>
      <c r="AB33" s="252" t="s">
        <v>227</v>
      </c>
      <c r="AC33" s="252" t="s">
        <v>227</v>
      </c>
      <c r="AD33" s="252" t="s">
        <v>228</v>
      </c>
      <c r="AE33" s="252" t="s">
        <v>228</v>
      </c>
      <c r="AF33" s="252" t="s">
        <v>228</v>
      </c>
      <c r="AG33" s="252" t="s">
        <v>203</v>
      </c>
      <c r="AH33" s="252" t="s">
        <v>203</v>
      </c>
      <c r="AI33" s="252" t="s">
        <v>204</v>
      </c>
      <c r="AJ33" s="52"/>
      <c r="AL33" s="51">
        <f t="shared" si="15"/>
        <v>0</v>
      </c>
      <c r="AM33" s="51">
        <f t="shared" si="16"/>
        <v>8</v>
      </c>
      <c r="AN33" s="51">
        <f t="shared" si="17"/>
        <v>4</v>
      </c>
      <c r="AO33" s="51">
        <f t="shared" si="18"/>
        <v>6</v>
      </c>
      <c r="AP33" s="51">
        <f t="shared" si="19"/>
        <v>11</v>
      </c>
    </row>
    <row r="34" spans="2:42" ht="18.75" x14ac:dyDescent="0.25">
      <c r="B34" s="37" t="s">
        <v>222</v>
      </c>
      <c r="C34" s="141" t="s">
        <v>134</v>
      </c>
      <c r="D34" s="141"/>
      <c r="F34" s="252" t="s">
        <v>228</v>
      </c>
      <c r="G34" s="252" t="s">
        <v>228</v>
      </c>
      <c r="H34" s="252" t="s">
        <v>203</v>
      </c>
      <c r="I34" s="252" t="s">
        <v>204</v>
      </c>
      <c r="J34" s="252" t="s">
        <v>204</v>
      </c>
      <c r="K34" s="252" t="s">
        <v>227</v>
      </c>
      <c r="L34" s="252" t="s">
        <v>227</v>
      </c>
      <c r="M34" s="252" t="s">
        <v>228</v>
      </c>
      <c r="N34" s="252" t="s">
        <v>228</v>
      </c>
      <c r="O34" s="252" t="s">
        <v>228</v>
      </c>
      <c r="P34" s="252" t="s">
        <v>229</v>
      </c>
      <c r="Q34" s="252" t="s">
        <v>229</v>
      </c>
      <c r="R34" s="252" t="s">
        <v>229</v>
      </c>
      <c r="S34" s="252" t="s">
        <v>229</v>
      </c>
      <c r="T34" s="252" t="s">
        <v>229</v>
      </c>
      <c r="U34" s="252" t="s">
        <v>229</v>
      </c>
      <c r="V34" s="252" t="s">
        <v>229</v>
      </c>
      <c r="W34" s="252" t="s">
        <v>229</v>
      </c>
      <c r="X34" s="252" t="s">
        <v>229</v>
      </c>
      <c r="Y34" s="252" t="s">
        <v>229</v>
      </c>
      <c r="Z34" s="252" t="s">
        <v>229</v>
      </c>
      <c r="AA34" s="252" t="s">
        <v>229</v>
      </c>
      <c r="AB34" s="252" t="s">
        <v>229</v>
      </c>
      <c r="AC34" s="252" t="s">
        <v>229</v>
      </c>
      <c r="AD34" s="252" t="s">
        <v>228</v>
      </c>
      <c r="AE34" s="252" t="s">
        <v>228</v>
      </c>
      <c r="AF34" s="252" t="s">
        <v>126</v>
      </c>
      <c r="AG34" s="252" t="s">
        <v>204</v>
      </c>
      <c r="AH34" s="252" t="s">
        <v>227</v>
      </c>
      <c r="AI34" s="252" t="s">
        <v>227</v>
      </c>
      <c r="AJ34" s="52"/>
      <c r="AL34" s="51">
        <f t="shared" si="15"/>
        <v>0</v>
      </c>
      <c r="AM34" s="51">
        <f t="shared" si="16"/>
        <v>1</v>
      </c>
      <c r="AN34" s="51">
        <f t="shared" si="17"/>
        <v>3</v>
      </c>
      <c r="AO34" s="51">
        <f t="shared" si="18"/>
        <v>4</v>
      </c>
      <c r="AP34" s="51">
        <f t="shared" si="19"/>
        <v>7</v>
      </c>
    </row>
    <row r="35" spans="2:42" ht="18.75" x14ac:dyDescent="0.25">
      <c r="B35" s="37" t="s">
        <v>222</v>
      </c>
      <c r="C35" s="141" t="s">
        <v>135</v>
      </c>
      <c r="D35" s="141"/>
      <c r="F35" s="252" t="s">
        <v>228</v>
      </c>
      <c r="G35" s="252" t="s">
        <v>203</v>
      </c>
      <c r="H35" s="252" t="s">
        <v>204</v>
      </c>
      <c r="I35" s="252" t="s">
        <v>204</v>
      </c>
      <c r="J35" s="252" t="s">
        <v>227</v>
      </c>
      <c r="K35" s="252" t="s">
        <v>227</v>
      </c>
      <c r="L35" s="252" t="s">
        <v>228</v>
      </c>
      <c r="M35" s="252" t="s">
        <v>228</v>
      </c>
      <c r="N35" s="252" t="s">
        <v>228</v>
      </c>
      <c r="O35" s="252" t="s">
        <v>203</v>
      </c>
      <c r="P35" s="252" t="s">
        <v>203</v>
      </c>
      <c r="Q35" s="252" t="s">
        <v>204</v>
      </c>
      <c r="R35" s="252" t="s">
        <v>227</v>
      </c>
      <c r="S35" s="252" t="s">
        <v>227</v>
      </c>
      <c r="T35" s="252" t="s">
        <v>228</v>
      </c>
      <c r="U35" s="252" t="s">
        <v>228</v>
      </c>
      <c r="V35" s="252" t="s">
        <v>228</v>
      </c>
      <c r="W35" s="252" t="s">
        <v>203</v>
      </c>
      <c r="X35" s="252" t="s">
        <v>203</v>
      </c>
      <c r="Y35" s="252" t="s">
        <v>204</v>
      </c>
      <c r="Z35" s="252" t="s">
        <v>227</v>
      </c>
      <c r="AA35" s="252" t="s">
        <v>227</v>
      </c>
      <c r="AB35" s="252" t="s">
        <v>228</v>
      </c>
      <c r="AC35" s="252" t="s">
        <v>228</v>
      </c>
      <c r="AD35" s="252" t="s">
        <v>228</v>
      </c>
      <c r="AE35" s="252" t="s">
        <v>203</v>
      </c>
      <c r="AF35" s="252" t="s">
        <v>203</v>
      </c>
      <c r="AG35" s="252" t="s">
        <v>204</v>
      </c>
      <c r="AH35" s="252" t="s">
        <v>227</v>
      </c>
      <c r="AI35" s="252" t="s">
        <v>227</v>
      </c>
      <c r="AJ35" s="52"/>
      <c r="AL35" s="51">
        <f t="shared" si="15"/>
        <v>0</v>
      </c>
      <c r="AM35" s="51">
        <f t="shared" si="16"/>
        <v>7</v>
      </c>
      <c r="AN35" s="51">
        <f t="shared" si="17"/>
        <v>5</v>
      </c>
      <c r="AO35" s="51">
        <f t="shared" si="18"/>
        <v>8</v>
      </c>
      <c r="AP35" s="51">
        <f t="shared" si="19"/>
        <v>10</v>
      </c>
    </row>
    <row r="36" spans="2:42" ht="18.75" x14ac:dyDescent="0.25">
      <c r="B36" s="37" t="s">
        <v>222</v>
      </c>
      <c r="C36" s="141" t="s">
        <v>240</v>
      </c>
      <c r="D36" s="141"/>
      <c r="F36" s="252" t="s">
        <v>203</v>
      </c>
      <c r="G36" s="252" t="s">
        <v>204</v>
      </c>
      <c r="H36" s="252" t="s">
        <v>204</v>
      </c>
      <c r="I36" s="252" t="s">
        <v>227</v>
      </c>
      <c r="J36" s="252" t="s">
        <v>227</v>
      </c>
      <c r="K36" s="252" t="s">
        <v>228</v>
      </c>
      <c r="L36" s="252" t="s">
        <v>228</v>
      </c>
      <c r="M36" s="252" t="s">
        <v>228</v>
      </c>
      <c r="N36" s="252" t="s">
        <v>203</v>
      </c>
      <c r="O36" s="252" t="s">
        <v>203</v>
      </c>
      <c r="P36" s="252" t="s">
        <v>204</v>
      </c>
      <c r="Q36" s="252" t="s">
        <v>204</v>
      </c>
      <c r="R36" s="252" t="s">
        <v>227</v>
      </c>
      <c r="S36" s="252" t="s">
        <v>228</v>
      </c>
      <c r="T36" s="252" t="s">
        <v>228</v>
      </c>
      <c r="U36" s="252" t="s">
        <v>228</v>
      </c>
      <c r="V36" s="252" t="s">
        <v>203</v>
      </c>
      <c r="W36" s="252" t="s">
        <v>204</v>
      </c>
      <c r="X36" s="252" t="s">
        <v>204</v>
      </c>
      <c r="Y36" s="252" t="s">
        <v>227</v>
      </c>
      <c r="Z36" s="252" t="s">
        <v>227</v>
      </c>
      <c r="AA36" s="252" t="s">
        <v>228</v>
      </c>
      <c r="AB36" s="254" t="s">
        <v>228</v>
      </c>
      <c r="AC36" s="252" t="s">
        <v>228</v>
      </c>
      <c r="AD36" s="252" t="s">
        <v>203</v>
      </c>
      <c r="AE36" s="252" t="s">
        <v>204</v>
      </c>
      <c r="AF36" s="252" t="s">
        <v>204</v>
      </c>
      <c r="AG36" s="252" t="s">
        <v>227</v>
      </c>
      <c r="AH36" s="252" t="s">
        <v>227</v>
      </c>
      <c r="AI36" s="252" t="s">
        <v>228</v>
      </c>
      <c r="AJ36" s="52"/>
      <c r="AL36" s="51">
        <f t="shared" si="15"/>
        <v>0</v>
      </c>
      <c r="AM36" s="51">
        <f t="shared" si="16"/>
        <v>5</v>
      </c>
      <c r="AN36" s="51">
        <f t="shared" si="17"/>
        <v>8</v>
      </c>
      <c r="AO36" s="51">
        <f t="shared" si="18"/>
        <v>7</v>
      </c>
      <c r="AP36" s="51">
        <f t="shared" si="19"/>
        <v>10</v>
      </c>
    </row>
    <row r="37" spans="2:42" ht="18.75" x14ac:dyDescent="0.25">
      <c r="B37" s="37" t="s">
        <v>222</v>
      </c>
      <c r="C37" s="141" t="s">
        <v>136</v>
      </c>
      <c r="D37" s="141"/>
      <c r="F37" s="252" t="s">
        <v>204</v>
      </c>
      <c r="G37" s="252" t="s">
        <v>204</v>
      </c>
      <c r="H37" s="252" t="s">
        <v>227</v>
      </c>
      <c r="I37" s="252" t="s">
        <v>227</v>
      </c>
      <c r="J37" s="252" t="s">
        <v>228</v>
      </c>
      <c r="K37" s="252" t="s">
        <v>228</v>
      </c>
      <c r="L37" s="252" t="s">
        <v>228</v>
      </c>
      <c r="M37" s="252" t="s">
        <v>203</v>
      </c>
      <c r="N37" s="252" t="s">
        <v>203</v>
      </c>
      <c r="O37" s="252" t="s">
        <v>204</v>
      </c>
      <c r="P37" s="252" t="s">
        <v>204</v>
      </c>
      <c r="Q37" s="252" t="s">
        <v>227</v>
      </c>
      <c r="R37" s="252" t="s">
        <v>228</v>
      </c>
      <c r="S37" s="252" t="s">
        <v>228</v>
      </c>
      <c r="T37" s="252" t="s">
        <v>228</v>
      </c>
      <c r="U37" s="252" t="s">
        <v>203</v>
      </c>
      <c r="V37" s="252" t="s">
        <v>204</v>
      </c>
      <c r="W37" s="252" t="s">
        <v>204</v>
      </c>
      <c r="X37" s="252" t="s">
        <v>227</v>
      </c>
      <c r="Y37" s="252" t="s">
        <v>227</v>
      </c>
      <c r="Z37" s="252" t="s">
        <v>228</v>
      </c>
      <c r="AA37" s="252" t="s">
        <v>228</v>
      </c>
      <c r="AB37" s="254" t="s">
        <v>228</v>
      </c>
      <c r="AC37" s="252" t="s">
        <v>203</v>
      </c>
      <c r="AD37" s="252" t="s">
        <v>204</v>
      </c>
      <c r="AE37" s="252" t="s">
        <v>204</v>
      </c>
      <c r="AF37" s="252" t="s">
        <v>227</v>
      </c>
      <c r="AG37" s="252" t="s">
        <v>227</v>
      </c>
      <c r="AH37" s="252" t="s">
        <v>228</v>
      </c>
      <c r="AI37" s="252" t="s">
        <v>228</v>
      </c>
      <c r="AJ37" s="52"/>
      <c r="AL37" s="51">
        <f t="shared" si="15"/>
        <v>0</v>
      </c>
      <c r="AM37" s="51">
        <f t="shared" si="16"/>
        <v>4</v>
      </c>
      <c r="AN37" s="51">
        <f t="shared" si="17"/>
        <v>8</v>
      </c>
      <c r="AO37" s="51">
        <f t="shared" si="18"/>
        <v>7</v>
      </c>
      <c r="AP37" s="51">
        <f t="shared" si="19"/>
        <v>11</v>
      </c>
    </row>
    <row r="38" spans="2:42" ht="18.75" x14ac:dyDescent="0.25">
      <c r="B38" s="37" t="s">
        <v>222</v>
      </c>
      <c r="C38" s="141" t="s">
        <v>137</v>
      </c>
      <c r="D38" s="141"/>
      <c r="F38" s="252" t="s">
        <v>229</v>
      </c>
      <c r="G38" s="252" t="s">
        <v>229</v>
      </c>
      <c r="H38" s="252" t="s">
        <v>229</v>
      </c>
      <c r="I38" s="252" t="s">
        <v>229</v>
      </c>
      <c r="J38" s="252" t="s">
        <v>229</v>
      </c>
      <c r="K38" s="252" t="s">
        <v>228</v>
      </c>
      <c r="L38" s="252" t="s">
        <v>203</v>
      </c>
      <c r="M38" s="252" t="s">
        <v>203</v>
      </c>
      <c r="N38" s="252" t="s">
        <v>204</v>
      </c>
      <c r="O38" s="252" t="s">
        <v>204</v>
      </c>
      <c r="P38" s="252" t="s">
        <v>227</v>
      </c>
      <c r="Q38" s="252" t="s">
        <v>228</v>
      </c>
      <c r="R38" s="252" t="s">
        <v>228</v>
      </c>
      <c r="S38" s="252" t="s">
        <v>228</v>
      </c>
      <c r="T38" s="252" t="s">
        <v>203</v>
      </c>
      <c r="U38" s="252" t="s">
        <v>204</v>
      </c>
      <c r="V38" s="252" t="s">
        <v>204</v>
      </c>
      <c r="W38" s="252" t="s">
        <v>227</v>
      </c>
      <c r="X38" s="252" t="s">
        <v>227</v>
      </c>
      <c r="Y38" s="252" t="s">
        <v>228</v>
      </c>
      <c r="Z38" s="252" t="s">
        <v>228</v>
      </c>
      <c r="AA38" s="252" t="s">
        <v>228</v>
      </c>
      <c r="AB38" s="252" t="s">
        <v>203</v>
      </c>
      <c r="AC38" s="252" t="s">
        <v>203</v>
      </c>
      <c r="AD38" s="252" t="s">
        <v>204</v>
      </c>
      <c r="AE38" s="252" t="s">
        <v>227</v>
      </c>
      <c r="AF38" s="252" t="s">
        <v>227</v>
      </c>
      <c r="AG38" s="252" t="s">
        <v>228</v>
      </c>
      <c r="AH38" s="252" t="s">
        <v>228</v>
      </c>
      <c r="AI38" s="252" t="s">
        <v>228</v>
      </c>
      <c r="AJ38" s="52"/>
      <c r="AL38" s="51">
        <f t="shared" si="15"/>
        <v>0</v>
      </c>
      <c r="AM38" s="51">
        <f t="shared" si="16"/>
        <v>5</v>
      </c>
      <c r="AN38" s="51">
        <f t="shared" si="17"/>
        <v>5</v>
      </c>
      <c r="AO38" s="51">
        <f t="shared" si="18"/>
        <v>5</v>
      </c>
      <c r="AP38" s="51">
        <f t="shared" si="19"/>
        <v>10</v>
      </c>
    </row>
    <row r="39" spans="2:42" ht="18.75" x14ac:dyDescent="0.25">
      <c r="B39" s="37" t="s">
        <v>222</v>
      </c>
      <c r="C39" s="141" t="s">
        <v>138</v>
      </c>
      <c r="D39" s="141"/>
      <c r="F39" s="252" t="s">
        <v>227</v>
      </c>
      <c r="G39" s="252" t="s">
        <v>227</v>
      </c>
      <c r="H39" s="252" t="s">
        <v>228</v>
      </c>
      <c r="I39" s="252" t="s">
        <v>228</v>
      </c>
      <c r="J39" s="252" t="s">
        <v>228</v>
      </c>
      <c r="K39" s="252" t="s">
        <v>203</v>
      </c>
      <c r="L39" s="252" t="s">
        <v>204</v>
      </c>
      <c r="M39" s="252" t="s">
        <v>204</v>
      </c>
      <c r="N39" s="252" t="s">
        <v>227</v>
      </c>
      <c r="O39" s="252" t="s">
        <v>227</v>
      </c>
      <c r="P39" s="252" t="s">
        <v>228</v>
      </c>
      <c r="Q39" s="252" t="s">
        <v>228</v>
      </c>
      <c r="R39" s="252" t="s">
        <v>228</v>
      </c>
      <c r="S39" s="252" t="s">
        <v>229</v>
      </c>
      <c r="T39" s="252" t="s">
        <v>229</v>
      </c>
      <c r="U39" s="252" t="s">
        <v>229</v>
      </c>
      <c r="V39" s="252" t="s">
        <v>229</v>
      </c>
      <c r="W39" s="252" t="s">
        <v>229</v>
      </c>
      <c r="X39" s="252" t="s">
        <v>229</v>
      </c>
      <c r="Y39" s="252" t="s">
        <v>228</v>
      </c>
      <c r="Z39" s="252" t="s">
        <v>228</v>
      </c>
      <c r="AA39" s="252" t="s">
        <v>203</v>
      </c>
      <c r="AB39" s="252" t="s">
        <v>204</v>
      </c>
      <c r="AC39" s="252" t="s">
        <v>204</v>
      </c>
      <c r="AD39" s="252" t="s">
        <v>227</v>
      </c>
      <c r="AE39" s="252" t="s">
        <v>227</v>
      </c>
      <c r="AF39" s="252" t="s">
        <v>228</v>
      </c>
      <c r="AG39" s="252" t="s">
        <v>228</v>
      </c>
      <c r="AH39" s="252" t="s">
        <v>228</v>
      </c>
      <c r="AI39" s="252" t="s">
        <v>203</v>
      </c>
      <c r="AJ39" s="52"/>
      <c r="AL39" s="51">
        <f t="shared" si="15"/>
        <v>0</v>
      </c>
      <c r="AM39" s="51">
        <f t="shared" si="16"/>
        <v>3</v>
      </c>
      <c r="AN39" s="51">
        <f t="shared" si="17"/>
        <v>4</v>
      </c>
      <c r="AO39" s="51">
        <f t="shared" si="18"/>
        <v>6</v>
      </c>
      <c r="AP39" s="51">
        <f t="shared" si="19"/>
        <v>11</v>
      </c>
    </row>
    <row r="40" spans="2:42" ht="18.75" x14ac:dyDescent="0.25">
      <c r="B40" s="37" t="s">
        <v>222</v>
      </c>
      <c r="C40" s="141" t="s">
        <v>139</v>
      </c>
      <c r="D40" s="141"/>
      <c r="F40" s="252" t="s">
        <v>227</v>
      </c>
      <c r="G40" s="252" t="s">
        <v>228</v>
      </c>
      <c r="H40" s="252" t="s">
        <v>228</v>
      </c>
      <c r="I40" s="252" t="s">
        <v>228</v>
      </c>
      <c r="J40" s="252" t="s">
        <v>203</v>
      </c>
      <c r="K40" s="252" t="s">
        <v>204</v>
      </c>
      <c r="L40" s="252" t="s">
        <v>204</v>
      </c>
      <c r="M40" s="252" t="s">
        <v>227</v>
      </c>
      <c r="N40" s="252" t="s">
        <v>227</v>
      </c>
      <c r="O40" s="252" t="s">
        <v>228</v>
      </c>
      <c r="P40" s="252" t="s">
        <v>228</v>
      </c>
      <c r="Q40" s="252" t="s">
        <v>228</v>
      </c>
      <c r="R40" s="252" t="s">
        <v>126</v>
      </c>
      <c r="S40" s="252" t="s">
        <v>204</v>
      </c>
      <c r="T40" s="252" t="s">
        <v>204</v>
      </c>
      <c r="U40" s="252" t="s">
        <v>227</v>
      </c>
      <c r="V40" s="252" t="s">
        <v>227</v>
      </c>
      <c r="W40" s="252" t="s">
        <v>228</v>
      </c>
      <c r="X40" s="252" t="s">
        <v>228</v>
      </c>
      <c r="Y40" s="252" t="s">
        <v>228</v>
      </c>
      <c r="Z40" s="252" t="s">
        <v>229</v>
      </c>
      <c r="AA40" s="252" t="s">
        <v>229</v>
      </c>
      <c r="AB40" s="254" t="s">
        <v>229</v>
      </c>
      <c r="AC40" s="252" t="s">
        <v>229</v>
      </c>
      <c r="AD40" s="252" t="s">
        <v>229</v>
      </c>
      <c r="AE40" s="252" t="s">
        <v>229</v>
      </c>
      <c r="AF40" s="252" t="s">
        <v>229</v>
      </c>
      <c r="AG40" s="252" t="s">
        <v>229</v>
      </c>
      <c r="AH40" s="252" t="s">
        <v>229</v>
      </c>
      <c r="AI40" s="252" t="s">
        <v>229</v>
      </c>
      <c r="AJ40" s="52"/>
      <c r="AL40" s="51">
        <f t="shared" si="15"/>
        <v>0</v>
      </c>
      <c r="AM40" s="51">
        <f t="shared" si="16"/>
        <v>1</v>
      </c>
      <c r="AN40" s="51">
        <f t="shared" si="17"/>
        <v>4</v>
      </c>
      <c r="AO40" s="51">
        <f t="shared" si="18"/>
        <v>5</v>
      </c>
      <c r="AP40" s="51">
        <f t="shared" si="19"/>
        <v>9</v>
      </c>
    </row>
    <row r="41" spans="2:42" ht="18.75" x14ac:dyDescent="0.25">
      <c r="B41" s="37" t="s">
        <v>222</v>
      </c>
      <c r="C41" s="141" t="s">
        <v>147</v>
      </c>
      <c r="D41" s="141"/>
      <c r="F41" s="252" t="s">
        <v>228</v>
      </c>
      <c r="G41" s="252" t="s">
        <v>228</v>
      </c>
      <c r="H41" s="252" t="s">
        <v>228</v>
      </c>
      <c r="I41" s="252" t="s">
        <v>203</v>
      </c>
      <c r="J41" s="252" t="s">
        <v>204</v>
      </c>
      <c r="K41" s="252" t="s">
        <v>204</v>
      </c>
      <c r="L41" s="252" t="s">
        <v>227</v>
      </c>
      <c r="M41" s="252" t="s">
        <v>227</v>
      </c>
      <c r="N41" s="252" t="s">
        <v>228</v>
      </c>
      <c r="O41" s="252" t="s">
        <v>228</v>
      </c>
      <c r="P41" s="252" t="s">
        <v>228</v>
      </c>
      <c r="Q41" s="252" t="s">
        <v>203</v>
      </c>
      <c r="R41" s="252" t="s">
        <v>204</v>
      </c>
      <c r="S41" s="252" t="s">
        <v>204</v>
      </c>
      <c r="T41" s="252" t="s">
        <v>227</v>
      </c>
      <c r="U41" s="252" t="s">
        <v>227</v>
      </c>
      <c r="V41" s="252" t="s">
        <v>228</v>
      </c>
      <c r="W41" s="252" t="s">
        <v>228</v>
      </c>
      <c r="X41" s="252" t="s">
        <v>228</v>
      </c>
      <c r="Y41" s="252" t="s">
        <v>203</v>
      </c>
      <c r="Z41" s="252" t="s">
        <v>204</v>
      </c>
      <c r="AA41" s="252" t="s">
        <v>204</v>
      </c>
      <c r="AB41" s="252" t="s">
        <v>227</v>
      </c>
      <c r="AC41" s="252" t="s">
        <v>227</v>
      </c>
      <c r="AD41" s="252" t="s">
        <v>228</v>
      </c>
      <c r="AE41" s="252" t="s">
        <v>228</v>
      </c>
      <c r="AF41" s="252" t="s">
        <v>228</v>
      </c>
      <c r="AG41" s="252" t="s">
        <v>203</v>
      </c>
      <c r="AH41" s="252" t="s">
        <v>204</v>
      </c>
      <c r="AI41" s="252" t="s">
        <v>204</v>
      </c>
      <c r="AJ41" s="52"/>
      <c r="AL41" s="51">
        <f t="shared" si="15"/>
        <v>0</v>
      </c>
      <c r="AM41" s="51">
        <f t="shared" si="16"/>
        <v>4</v>
      </c>
      <c r="AN41" s="51">
        <f t="shared" si="17"/>
        <v>8</v>
      </c>
      <c r="AO41" s="51">
        <f t="shared" si="18"/>
        <v>6</v>
      </c>
      <c r="AP41" s="51">
        <f t="shared" si="19"/>
        <v>12</v>
      </c>
    </row>
    <row r="42" spans="2:42" ht="18.75" x14ac:dyDescent="0.25">
      <c r="B42" s="37" t="s">
        <v>222</v>
      </c>
      <c r="C42" s="141" t="s">
        <v>140</v>
      </c>
      <c r="D42" s="141"/>
      <c r="F42" s="252" t="s">
        <v>228</v>
      </c>
      <c r="G42" s="252" t="s">
        <v>228</v>
      </c>
      <c r="H42" s="252" t="s">
        <v>203</v>
      </c>
      <c r="I42" s="252" t="s">
        <v>203</v>
      </c>
      <c r="J42" s="252" t="s">
        <v>204</v>
      </c>
      <c r="K42" s="252" t="s">
        <v>227</v>
      </c>
      <c r="L42" s="252" t="s">
        <v>227</v>
      </c>
      <c r="M42" s="252" t="s">
        <v>228</v>
      </c>
      <c r="N42" s="252" t="s">
        <v>228</v>
      </c>
      <c r="O42" s="252" t="s">
        <v>228</v>
      </c>
      <c r="P42" s="252" t="s">
        <v>203</v>
      </c>
      <c r="Q42" s="252" t="s">
        <v>203</v>
      </c>
      <c r="R42" s="252" t="s">
        <v>204</v>
      </c>
      <c r="S42" s="252" t="s">
        <v>227</v>
      </c>
      <c r="T42" s="252" t="s">
        <v>227</v>
      </c>
      <c r="U42" s="252" t="s">
        <v>228</v>
      </c>
      <c r="V42" s="252" t="s">
        <v>228</v>
      </c>
      <c r="W42" s="252" t="s">
        <v>228</v>
      </c>
      <c r="X42" s="252" t="s">
        <v>203</v>
      </c>
      <c r="Y42" s="252" t="s">
        <v>203</v>
      </c>
      <c r="Z42" s="252" t="s">
        <v>204</v>
      </c>
      <c r="AA42" s="252" t="s">
        <v>227</v>
      </c>
      <c r="AB42" s="252" t="s">
        <v>227</v>
      </c>
      <c r="AC42" s="252" t="s">
        <v>228</v>
      </c>
      <c r="AD42" s="252" t="s">
        <v>228</v>
      </c>
      <c r="AE42" s="252" t="s">
        <v>228</v>
      </c>
      <c r="AF42" s="252" t="s">
        <v>203</v>
      </c>
      <c r="AG42" s="252" t="s">
        <v>203</v>
      </c>
      <c r="AH42" s="252" t="s">
        <v>204</v>
      </c>
      <c r="AI42" s="252" t="s">
        <v>227</v>
      </c>
      <c r="AJ42" s="52"/>
      <c r="AL42" s="51">
        <f t="shared" si="15"/>
        <v>0</v>
      </c>
      <c r="AM42" s="51">
        <f t="shared" si="16"/>
        <v>8</v>
      </c>
      <c r="AN42" s="51">
        <f t="shared" si="17"/>
        <v>4</v>
      </c>
      <c r="AO42" s="51">
        <f t="shared" si="18"/>
        <v>7</v>
      </c>
      <c r="AP42" s="51">
        <f t="shared" si="19"/>
        <v>11</v>
      </c>
    </row>
    <row r="43" spans="2:42" ht="18.75" x14ac:dyDescent="0.25">
      <c r="B43" s="37" t="s">
        <v>222</v>
      </c>
      <c r="C43" s="141" t="s">
        <v>141</v>
      </c>
      <c r="D43" s="141"/>
      <c r="F43" s="252" t="s">
        <v>229</v>
      </c>
      <c r="G43" s="252" t="s">
        <v>229</v>
      </c>
      <c r="H43" s="252" t="s">
        <v>229</v>
      </c>
      <c r="I43" s="252" t="s">
        <v>229</v>
      </c>
      <c r="J43" s="252" t="s">
        <v>229</v>
      </c>
      <c r="K43" s="252" t="s">
        <v>229</v>
      </c>
      <c r="L43" s="252" t="s">
        <v>229</v>
      </c>
      <c r="M43" s="252" t="s">
        <v>229</v>
      </c>
      <c r="N43" s="252" t="s">
        <v>229</v>
      </c>
      <c r="O43" s="252" t="s">
        <v>229</v>
      </c>
      <c r="P43" s="252" t="s">
        <v>229</v>
      </c>
      <c r="Q43" s="252" t="s">
        <v>229</v>
      </c>
      <c r="R43" s="252" t="s">
        <v>229</v>
      </c>
      <c r="S43" s="252" t="s">
        <v>229</v>
      </c>
      <c r="T43" s="252" t="s">
        <v>229</v>
      </c>
      <c r="U43" s="252" t="s">
        <v>228</v>
      </c>
      <c r="V43" s="252" t="s">
        <v>228</v>
      </c>
      <c r="W43" s="252" t="s">
        <v>203</v>
      </c>
      <c r="X43" s="252" t="s">
        <v>203</v>
      </c>
      <c r="Y43" s="252" t="s">
        <v>204</v>
      </c>
      <c r="Z43" s="252" t="s">
        <v>227</v>
      </c>
      <c r="AA43" s="252" t="s">
        <v>227</v>
      </c>
      <c r="AB43" s="252" t="s">
        <v>228</v>
      </c>
      <c r="AC43" s="252" t="s">
        <v>228</v>
      </c>
      <c r="AD43" s="252" t="s">
        <v>228</v>
      </c>
      <c r="AE43" s="252" t="s">
        <v>203</v>
      </c>
      <c r="AF43" s="252" t="s">
        <v>203</v>
      </c>
      <c r="AG43" s="252" t="s">
        <v>204</v>
      </c>
      <c r="AH43" s="252" t="s">
        <v>204</v>
      </c>
      <c r="AI43" s="252" t="s">
        <v>227</v>
      </c>
      <c r="AJ43" s="52"/>
      <c r="AL43" s="51">
        <f t="shared" si="15"/>
        <v>0</v>
      </c>
      <c r="AM43" s="51">
        <f t="shared" si="16"/>
        <v>4</v>
      </c>
      <c r="AN43" s="51">
        <f t="shared" si="17"/>
        <v>3</v>
      </c>
      <c r="AO43" s="51">
        <f t="shared" si="18"/>
        <v>3</v>
      </c>
      <c r="AP43" s="51">
        <f t="shared" si="19"/>
        <v>5</v>
      </c>
    </row>
    <row r="44" spans="2:42" ht="18.75" x14ac:dyDescent="0.25">
      <c r="B44" s="37" t="s">
        <v>222</v>
      </c>
      <c r="C44" s="141" t="s">
        <v>142</v>
      </c>
      <c r="D44" s="141"/>
      <c r="F44" s="252" t="s">
        <v>229</v>
      </c>
      <c r="G44" s="252" t="s">
        <v>229</v>
      </c>
      <c r="H44" s="252" t="s">
        <v>229</v>
      </c>
      <c r="I44" s="252" t="s">
        <v>229</v>
      </c>
      <c r="J44" s="252" t="s">
        <v>229</v>
      </c>
      <c r="K44" s="252" t="s">
        <v>229</v>
      </c>
      <c r="L44" s="252" t="s">
        <v>228</v>
      </c>
      <c r="M44" s="252" t="s">
        <v>228</v>
      </c>
      <c r="N44" s="252" t="s">
        <v>203</v>
      </c>
      <c r="O44" s="252" t="s">
        <v>203</v>
      </c>
      <c r="P44" s="252" t="s">
        <v>204</v>
      </c>
      <c r="Q44" s="252" t="s">
        <v>204</v>
      </c>
      <c r="R44" s="252" t="s">
        <v>227</v>
      </c>
      <c r="S44" s="252" t="s">
        <v>228</v>
      </c>
      <c r="T44" s="252" t="s">
        <v>228</v>
      </c>
      <c r="U44" s="252" t="s">
        <v>228</v>
      </c>
      <c r="V44" s="252" t="s">
        <v>203</v>
      </c>
      <c r="W44" s="252" t="s">
        <v>203</v>
      </c>
      <c r="X44" s="252" t="s">
        <v>204</v>
      </c>
      <c r="Y44" s="252" t="s">
        <v>204</v>
      </c>
      <c r="Z44" s="252" t="s">
        <v>227</v>
      </c>
      <c r="AA44" s="252" t="s">
        <v>228</v>
      </c>
      <c r="AB44" s="252" t="s">
        <v>228</v>
      </c>
      <c r="AC44" s="252" t="s">
        <v>228</v>
      </c>
      <c r="AD44" s="252" t="s">
        <v>203</v>
      </c>
      <c r="AE44" s="252" t="s">
        <v>203</v>
      </c>
      <c r="AF44" s="252" t="s">
        <v>204</v>
      </c>
      <c r="AG44" s="252" t="s">
        <v>204</v>
      </c>
      <c r="AH44" s="252" t="s">
        <v>227</v>
      </c>
      <c r="AI44" s="252" t="s">
        <v>228</v>
      </c>
      <c r="AJ44" s="52"/>
      <c r="AL44" s="51">
        <f t="shared" si="15"/>
        <v>0</v>
      </c>
      <c r="AM44" s="51">
        <f t="shared" si="16"/>
        <v>6</v>
      </c>
      <c r="AN44" s="51">
        <f t="shared" si="17"/>
        <v>6</v>
      </c>
      <c r="AO44" s="51">
        <f t="shared" si="18"/>
        <v>3</v>
      </c>
      <c r="AP44" s="51">
        <f t="shared" si="19"/>
        <v>9</v>
      </c>
    </row>
    <row r="45" spans="2:42" ht="18.75" x14ac:dyDescent="0.25">
      <c r="B45" s="37" t="s">
        <v>222</v>
      </c>
      <c r="C45" s="141" t="s">
        <v>143</v>
      </c>
      <c r="D45" s="141"/>
      <c r="F45" s="252" t="s">
        <v>203</v>
      </c>
      <c r="G45" s="252" t="s">
        <v>204</v>
      </c>
      <c r="H45" s="252" t="s">
        <v>227</v>
      </c>
      <c r="I45" s="252" t="s">
        <v>227</v>
      </c>
      <c r="J45" s="252" t="s">
        <v>228</v>
      </c>
      <c r="K45" s="252" t="s">
        <v>228</v>
      </c>
      <c r="L45" s="252" t="s">
        <v>228</v>
      </c>
      <c r="M45" s="252" t="s">
        <v>203</v>
      </c>
      <c r="N45" s="252" t="s">
        <v>203</v>
      </c>
      <c r="O45" s="252" t="s">
        <v>204</v>
      </c>
      <c r="P45" s="252" t="s">
        <v>227</v>
      </c>
      <c r="Q45" s="252" t="s">
        <v>227</v>
      </c>
      <c r="R45" s="252" t="s">
        <v>228</v>
      </c>
      <c r="S45" s="252" t="s">
        <v>228</v>
      </c>
      <c r="T45" s="252" t="s">
        <v>228</v>
      </c>
      <c r="U45" s="252" t="s">
        <v>203</v>
      </c>
      <c r="V45" s="252" t="s">
        <v>204</v>
      </c>
      <c r="W45" s="252" t="s">
        <v>204</v>
      </c>
      <c r="X45" s="252" t="s">
        <v>227</v>
      </c>
      <c r="Y45" s="252" t="s">
        <v>227</v>
      </c>
      <c r="Z45" s="252" t="s">
        <v>228</v>
      </c>
      <c r="AA45" s="252" t="s">
        <v>228</v>
      </c>
      <c r="AB45" s="252" t="s">
        <v>228</v>
      </c>
      <c r="AC45" s="252" t="s">
        <v>203</v>
      </c>
      <c r="AD45" s="252" t="s">
        <v>204</v>
      </c>
      <c r="AE45" s="252" t="s">
        <v>204</v>
      </c>
      <c r="AF45" s="252" t="s">
        <v>227</v>
      </c>
      <c r="AG45" s="252" t="s">
        <v>227</v>
      </c>
      <c r="AH45" s="252" t="s">
        <v>228</v>
      </c>
      <c r="AI45" s="252" t="s">
        <v>228</v>
      </c>
      <c r="AJ45" s="98"/>
      <c r="AL45" s="51">
        <f t="shared" si="15"/>
        <v>0</v>
      </c>
      <c r="AM45" s="51">
        <f t="shared" si="16"/>
        <v>5</v>
      </c>
      <c r="AN45" s="51">
        <f t="shared" si="17"/>
        <v>6</v>
      </c>
      <c r="AO45" s="51">
        <f t="shared" si="18"/>
        <v>8</v>
      </c>
      <c r="AP45" s="51">
        <f t="shared" si="19"/>
        <v>11</v>
      </c>
    </row>
    <row r="46" spans="2:42" ht="18.75" x14ac:dyDescent="0.25">
      <c r="B46" s="37" t="s">
        <v>222</v>
      </c>
      <c r="C46" s="141" t="s">
        <v>144</v>
      </c>
      <c r="D46" s="141"/>
      <c r="F46" s="252" t="s">
        <v>204</v>
      </c>
      <c r="G46" s="252" t="s">
        <v>227</v>
      </c>
      <c r="H46" s="252" t="s">
        <v>227</v>
      </c>
      <c r="I46" s="252" t="s">
        <v>228</v>
      </c>
      <c r="J46" s="252" t="s">
        <v>228</v>
      </c>
      <c r="K46" s="252" t="s">
        <v>228</v>
      </c>
      <c r="L46" s="252" t="s">
        <v>203</v>
      </c>
      <c r="M46" s="252" t="s">
        <v>126</v>
      </c>
      <c r="N46" s="252" t="s">
        <v>204</v>
      </c>
      <c r="O46" s="252" t="s">
        <v>227</v>
      </c>
      <c r="P46" s="252" t="s">
        <v>227</v>
      </c>
      <c r="Q46" s="252" t="s">
        <v>228</v>
      </c>
      <c r="R46" s="252" t="s">
        <v>228</v>
      </c>
      <c r="S46" s="252" t="s">
        <v>228</v>
      </c>
      <c r="T46" s="252" t="s">
        <v>203</v>
      </c>
      <c r="U46" s="252" t="s">
        <v>203</v>
      </c>
      <c r="V46" s="252" t="s">
        <v>204</v>
      </c>
      <c r="W46" s="252" t="s">
        <v>227</v>
      </c>
      <c r="X46" s="252" t="s">
        <v>227</v>
      </c>
      <c r="Y46" s="252" t="s">
        <v>228</v>
      </c>
      <c r="Z46" s="252" t="s">
        <v>228</v>
      </c>
      <c r="AA46" s="252" t="s">
        <v>228</v>
      </c>
      <c r="AB46" s="254" t="s">
        <v>203</v>
      </c>
      <c r="AC46" s="252" t="s">
        <v>204</v>
      </c>
      <c r="AD46" s="252" t="s">
        <v>204</v>
      </c>
      <c r="AE46" s="252" t="s">
        <v>126</v>
      </c>
      <c r="AF46" s="252" t="s">
        <v>227</v>
      </c>
      <c r="AG46" s="252" t="s">
        <v>228</v>
      </c>
      <c r="AH46" s="252" t="s">
        <v>228</v>
      </c>
      <c r="AI46" s="252" t="s">
        <v>228</v>
      </c>
      <c r="AJ46" s="52"/>
      <c r="AL46" s="51">
        <f t="shared" si="15"/>
        <v>0</v>
      </c>
      <c r="AM46" s="51">
        <f t="shared" si="16"/>
        <v>4</v>
      </c>
      <c r="AN46" s="51">
        <f t="shared" si="17"/>
        <v>5</v>
      </c>
      <c r="AO46" s="51">
        <f t="shared" si="18"/>
        <v>7</v>
      </c>
      <c r="AP46" s="51">
        <f t="shared" si="19"/>
        <v>12</v>
      </c>
    </row>
    <row r="47" spans="2:42" ht="18.75" x14ac:dyDescent="0.25">
      <c r="B47" s="37" t="s">
        <v>222</v>
      </c>
      <c r="C47" s="141" t="s">
        <v>145</v>
      </c>
      <c r="D47" s="141"/>
      <c r="F47" s="252" t="s">
        <v>227</v>
      </c>
      <c r="G47" s="252" t="s">
        <v>228</v>
      </c>
      <c r="H47" s="252" t="s">
        <v>228</v>
      </c>
      <c r="I47" s="252" t="s">
        <v>228</v>
      </c>
      <c r="J47" s="252" t="s">
        <v>203</v>
      </c>
      <c r="K47" s="252" t="s">
        <v>203</v>
      </c>
      <c r="L47" s="252" t="s">
        <v>204</v>
      </c>
      <c r="M47" s="252" t="s">
        <v>204</v>
      </c>
      <c r="N47" s="252" t="s">
        <v>227</v>
      </c>
      <c r="O47" s="252" t="s">
        <v>228</v>
      </c>
      <c r="P47" s="252" t="s">
        <v>228</v>
      </c>
      <c r="Q47" s="252" t="s">
        <v>228</v>
      </c>
      <c r="R47" s="252" t="s">
        <v>126</v>
      </c>
      <c r="S47" s="252" t="s">
        <v>204</v>
      </c>
      <c r="T47" s="252" t="s">
        <v>204</v>
      </c>
      <c r="U47" s="252" t="s">
        <v>227</v>
      </c>
      <c r="V47" s="252" t="s">
        <v>227</v>
      </c>
      <c r="W47" s="252" t="s">
        <v>228</v>
      </c>
      <c r="X47" s="252" t="s">
        <v>228</v>
      </c>
      <c r="Y47" s="252" t="s">
        <v>228</v>
      </c>
      <c r="Z47" s="252" t="s">
        <v>203</v>
      </c>
      <c r="AA47" s="252" t="s">
        <v>204</v>
      </c>
      <c r="AB47" s="252" t="s">
        <v>204</v>
      </c>
      <c r="AC47" s="252" t="s">
        <v>227</v>
      </c>
      <c r="AD47" s="252" t="s">
        <v>227</v>
      </c>
      <c r="AE47" s="252" t="s">
        <v>228</v>
      </c>
      <c r="AF47" s="252" t="s">
        <v>228</v>
      </c>
      <c r="AG47" s="252" t="s">
        <v>228</v>
      </c>
      <c r="AH47" s="252" t="s">
        <v>203</v>
      </c>
      <c r="AI47" s="252" t="s">
        <v>203</v>
      </c>
      <c r="AJ47" s="52"/>
      <c r="AL47" s="51">
        <f t="shared" si="15"/>
        <v>0</v>
      </c>
      <c r="AM47" s="51">
        <f t="shared" si="16"/>
        <v>5</v>
      </c>
      <c r="AN47" s="51">
        <f t="shared" si="17"/>
        <v>6</v>
      </c>
      <c r="AO47" s="51">
        <f t="shared" si="18"/>
        <v>6</v>
      </c>
      <c r="AP47" s="51">
        <f t="shared" si="19"/>
        <v>12</v>
      </c>
    </row>
    <row r="48" spans="2:42" ht="18.75" x14ac:dyDescent="0.25">
      <c r="B48" s="37" t="s">
        <v>222</v>
      </c>
      <c r="C48" s="141" t="s">
        <v>146</v>
      </c>
      <c r="D48" s="141"/>
      <c r="F48" s="252" t="s">
        <v>228</v>
      </c>
      <c r="G48" s="252" t="s">
        <v>228</v>
      </c>
      <c r="H48" s="252" t="s">
        <v>228</v>
      </c>
      <c r="I48" s="252" t="s">
        <v>203</v>
      </c>
      <c r="J48" s="252" t="s">
        <v>204</v>
      </c>
      <c r="K48" s="252" t="s">
        <v>204</v>
      </c>
      <c r="L48" s="252" t="s">
        <v>227</v>
      </c>
      <c r="M48" s="252" t="s">
        <v>227</v>
      </c>
      <c r="N48" s="252" t="s">
        <v>228</v>
      </c>
      <c r="O48" s="252" t="s">
        <v>228</v>
      </c>
      <c r="P48" s="252" t="s">
        <v>228</v>
      </c>
      <c r="Q48" s="252" t="s">
        <v>203</v>
      </c>
      <c r="R48" s="252" t="s">
        <v>204</v>
      </c>
      <c r="S48" s="252" t="s">
        <v>227</v>
      </c>
      <c r="T48" s="252" t="s">
        <v>227</v>
      </c>
      <c r="U48" s="252" t="s">
        <v>227</v>
      </c>
      <c r="V48" s="252" t="s">
        <v>228</v>
      </c>
      <c r="W48" s="252" t="s">
        <v>228</v>
      </c>
      <c r="X48" s="252" t="s">
        <v>228</v>
      </c>
      <c r="Y48" s="252" t="s">
        <v>203</v>
      </c>
      <c r="Z48" s="252" t="s">
        <v>204</v>
      </c>
      <c r="AA48" s="252" t="s">
        <v>204</v>
      </c>
      <c r="AB48" s="252" t="s">
        <v>227</v>
      </c>
      <c r="AC48" s="252" t="s">
        <v>227</v>
      </c>
      <c r="AD48" s="252" t="s">
        <v>228</v>
      </c>
      <c r="AE48" s="252" t="s">
        <v>228</v>
      </c>
      <c r="AF48" s="252" t="s">
        <v>228</v>
      </c>
      <c r="AG48" s="252" t="s">
        <v>203</v>
      </c>
      <c r="AH48" s="252" t="s">
        <v>204</v>
      </c>
      <c r="AI48" s="252" t="s">
        <v>204</v>
      </c>
      <c r="AJ48" s="52"/>
      <c r="AL48" s="51">
        <f t="shared" si="15"/>
        <v>0</v>
      </c>
      <c r="AM48" s="51">
        <f t="shared" si="16"/>
        <v>4</v>
      </c>
      <c r="AN48" s="51">
        <f t="shared" si="17"/>
        <v>7</v>
      </c>
      <c r="AO48" s="51">
        <f t="shared" si="18"/>
        <v>7</v>
      </c>
      <c r="AP48" s="51">
        <f t="shared" si="19"/>
        <v>12</v>
      </c>
    </row>
    <row r="49" spans="2:42" ht="18.75" x14ac:dyDescent="0.25">
      <c r="B49" s="37" t="s">
        <v>222</v>
      </c>
      <c r="C49" s="141" t="s">
        <v>148</v>
      </c>
      <c r="D49" s="141"/>
      <c r="F49" s="252" t="s">
        <v>228</v>
      </c>
      <c r="G49" s="252" t="s">
        <v>203</v>
      </c>
      <c r="H49" s="252" t="s">
        <v>203</v>
      </c>
      <c r="I49" s="252" t="s">
        <v>204</v>
      </c>
      <c r="J49" s="252" t="s">
        <v>227</v>
      </c>
      <c r="K49" s="252" t="s">
        <v>227</v>
      </c>
      <c r="L49" s="252" t="s">
        <v>228</v>
      </c>
      <c r="M49" s="252" t="s">
        <v>228</v>
      </c>
      <c r="N49" s="252" t="s">
        <v>228</v>
      </c>
      <c r="O49" s="252" t="s">
        <v>203</v>
      </c>
      <c r="P49" s="252" t="s">
        <v>203</v>
      </c>
      <c r="Q49" s="252" t="s">
        <v>204</v>
      </c>
      <c r="R49" s="252" t="s">
        <v>204</v>
      </c>
      <c r="S49" s="252" t="s">
        <v>227</v>
      </c>
      <c r="T49" s="252" t="s">
        <v>228</v>
      </c>
      <c r="U49" s="252" t="s">
        <v>228</v>
      </c>
      <c r="V49" s="252" t="s">
        <v>228</v>
      </c>
      <c r="W49" s="252" t="s">
        <v>203</v>
      </c>
      <c r="X49" s="252" t="s">
        <v>203</v>
      </c>
      <c r="Y49" s="252" t="s">
        <v>204</v>
      </c>
      <c r="Z49" s="252" t="s">
        <v>204</v>
      </c>
      <c r="AA49" s="252" t="s">
        <v>227</v>
      </c>
      <c r="AB49" s="252" t="s">
        <v>228</v>
      </c>
      <c r="AC49" s="252" t="s">
        <v>228</v>
      </c>
      <c r="AD49" s="252" t="s">
        <v>228</v>
      </c>
      <c r="AE49" s="252" t="s">
        <v>203</v>
      </c>
      <c r="AF49" s="252" t="s">
        <v>203</v>
      </c>
      <c r="AG49" s="252" t="s">
        <v>204</v>
      </c>
      <c r="AH49" s="252" t="s">
        <v>204</v>
      </c>
      <c r="AI49" s="252" t="s">
        <v>227</v>
      </c>
      <c r="AJ49" s="99"/>
      <c r="AL49" s="51">
        <f t="shared" si="15"/>
        <v>0</v>
      </c>
      <c r="AM49" s="51">
        <f t="shared" si="16"/>
        <v>8</v>
      </c>
      <c r="AN49" s="51">
        <f t="shared" si="17"/>
        <v>7</v>
      </c>
      <c r="AO49" s="51">
        <f t="shared" si="18"/>
        <v>5</v>
      </c>
      <c r="AP49" s="51">
        <f t="shared" si="19"/>
        <v>10</v>
      </c>
    </row>
    <row r="50" spans="2:42" ht="18.75" x14ac:dyDescent="0.25">
      <c r="B50" s="37" t="s">
        <v>222</v>
      </c>
      <c r="C50" s="141" t="s">
        <v>149</v>
      </c>
      <c r="D50" s="141"/>
      <c r="F50" s="252" t="s">
        <v>203</v>
      </c>
      <c r="G50" s="252" t="s">
        <v>203</v>
      </c>
      <c r="H50" s="252" t="s">
        <v>204</v>
      </c>
      <c r="I50" s="252" t="s">
        <v>204</v>
      </c>
      <c r="J50" s="252" t="s">
        <v>227</v>
      </c>
      <c r="K50" s="252" t="s">
        <v>228</v>
      </c>
      <c r="L50" s="252" t="s">
        <v>228</v>
      </c>
      <c r="M50" s="252" t="s">
        <v>228</v>
      </c>
      <c r="N50" s="252" t="s">
        <v>203</v>
      </c>
      <c r="O50" s="252" t="s">
        <v>204</v>
      </c>
      <c r="P50" s="252" t="s">
        <v>204</v>
      </c>
      <c r="Q50" s="252" t="s">
        <v>227</v>
      </c>
      <c r="R50" s="252" t="s">
        <v>227</v>
      </c>
      <c r="S50" s="252" t="s">
        <v>228</v>
      </c>
      <c r="T50" s="252" t="s">
        <v>228</v>
      </c>
      <c r="U50" s="252" t="s">
        <v>228</v>
      </c>
      <c r="V50" s="252" t="s">
        <v>203</v>
      </c>
      <c r="W50" s="252" t="s">
        <v>204</v>
      </c>
      <c r="X50" s="252" t="s">
        <v>204</v>
      </c>
      <c r="Y50" s="252" t="s">
        <v>227</v>
      </c>
      <c r="Z50" s="252" t="s">
        <v>227</v>
      </c>
      <c r="AA50" s="252" t="s">
        <v>228</v>
      </c>
      <c r="AB50" s="252" t="s">
        <v>228</v>
      </c>
      <c r="AC50" s="252" t="s">
        <v>228</v>
      </c>
      <c r="AD50" s="252" t="s">
        <v>203</v>
      </c>
      <c r="AE50" s="252" t="s">
        <v>203</v>
      </c>
      <c r="AF50" s="252" t="s">
        <v>204</v>
      </c>
      <c r="AG50" s="252" t="s">
        <v>227</v>
      </c>
      <c r="AH50" s="252" t="s">
        <v>227</v>
      </c>
      <c r="AI50" s="252" t="s">
        <v>228</v>
      </c>
      <c r="AJ50" s="52"/>
      <c r="AL50" s="51">
        <f t="shared" si="15"/>
        <v>0</v>
      </c>
      <c r="AM50" s="51">
        <f t="shared" si="16"/>
        <v>6</v>
      </c>
      <c r="AN50" s="51">
        <f t="shared" si="17"/>
        <v>7</v>
      </c>
      <c r="AO50" s="51">
        <f t="shared" si="18"/>
        <v>7</v>
      </c>
      <c r="AP50" s="51">
        <f t="shared" si="19"/>
        <v>10</v>
      </c>
    </row>
    <row r="51" spans="2:42" ht="18.75" x14ac:dyDescent="0.25">
      <c r="B51" s="37" t="s">
        <v>222</v>
      </c>
      <c r="C51" s="141" t="s">
        <v>238</v>
      </c>
      <c r="D51" s="141"/>
      <c r="F51" s="252" t="s">
        <v>203</v>
      </c>
      <c r="G51" s="252" t="s">
        <v>204</v>
      </c>
      <c r="H51" s="252" t="s">
        <v>204</v>
      </c>
      <c r="I51" s="252" t="s">
        <v>227</v>
      </c>
      <c r="J51" s="252" t="s">
        <v>228</v>
      </c>
      <c r="K51" s="252" t="s">
        <v>228</v>
      </c>
      <c r="L51" s="252" t="s">
        <v>228</v>
      </c>
      <c r="M51" s="252" t="s">
        <v>203</v>
      </c>
      <c r="N51" s="252" t="s">
        <v>204</v>
      </c>
      <c r="O51" s="252" t="s">
        <v>204</v>
      </c>
      <c r="P51" s="252" t="s">
        <v>227</v>
      </c>
      <c r="Q51" s="252" t="s">
        <v>227</v>
      </c>
      <c r="R51" s="252" t="s">
        <v>228</v>
      </c>
      <c r="S51" s="252" t="s">
        <v>228</v>
      </c>
      <c r="T51" s="252" t="s">
        <v>228</v>
      </c>
      <c r="U51" s="252" t="s">
        <v>203</v>
      </c>
      <c r="V51" s="252" t="s">
        <v>203</v>
      </c>
      <c r="W51" s="252" t="s">
        <v>204</v>
      </c>
      <c r="X51" s="252" t="s">
        <v>204</v>
      </c>
      <c r="Y51" s="252" t="s">
        <v>227</v>
      </c>
      <c r="Z51" s="252" t="s">
        <v>228</v>
      </c>
      <c r="AA51" s="252" t="s">
        <v>228</v>
      </c>
      <c r="AB51" s="252" t="s">
        <v>228</v>
      </c>
      <c r="AC51" s="252" t="s">
        <v>203</v>
      </c>
      <c r="AD51" s="252" t="s">
        <v>203</v>
      </c>
      <c r="AE51" s="252" t="s">
        <v>204</v>
      </c>
      <c r="AF51" s="252" t="s">
        <v>227</v>
      </c>
      <c r="AG51" s="252" t="s">
        <v>227</v>
      </c>
      <c r="AH51" s="252" t="s">
        <v>228</v>
      </c>
      <c r="AI51" s="252" t="s">
        <v>228</v>
      </c>
      <c r="AJ51" s="52"/>
      <c r="AL51" s="51">
        <f t="shared" si="15"/>
        <v>0</v>
      </c>
      <c r="AM51" s="51">
        <f t="shared" si="16"/>
        <v>6</v>
      </c>
      <c r="AN51" s="51">
        <f t="shared" si="17"/>
        <v>7</v>
      </c>
      <c r="AO51" s="51">
        <f t="shared" si="18"/>
        <v>6</v>
      </c>
      <c r="AP51" s="51">
        <f t="shared" si="19"/>
        <v>11</v>
      </c>
    </row>
    <row r="52" spans="2:42" ht="18.75" x14ac:dyDescent="0.25">
      <c r="B52" s="37" t="s">
        <v>222</v>
      </c>
      <c r="C52" s="141" t="s">
        <v>130</v>
      </c>
      <c r="D52" s="141"/>
      <c r="F52" s="252" t="s">
        <v>229</v>
      </c>
      <c r="G52" s="252" t="s">
        <v>229</v>
      </c>
      <c r="H52" s="252" t="s">
        <v>229</v>
      </c>
      <c r="I52" s="252" t="s">
        <v>229</v>
      </c>
      <c r="J52" s="252" t="s">
        <v>228</v>
      </c>
      <c r="K52" s="252" t="s">
        <v>228</v>
      </c>
      <c r="L52" s="252" t="s">
        <v>203</v>
      </c>
      <c r="M52" s="252" t="s">
        <v>203</v>
      </c>
      <c r="N52" s="252" t="s">
        <v>204</v>
      </c>
      <c r="O52" s="252" t="s">
        <v>227</v>
      </c>
      <c r="P52" s="252" t="s">
        <v>227</v>
      </c>
      <c r="Q52" s="252" t="s">
        <v>228</v>
      </c>
      <c r="R52" s="252" t="s">
        <v>228</v>
      </c>
      <c r="S52" s="252" t="s">
        <v>228</v>
      </c>
      <c r="T52" s="252" t="s">
        <v>203</v>
      </c>
      <c r="U52" s="252" t="s">
        <v>203</v>
      </c>
      <c r="V52" s="252" t="s">
        <v>204</v>
      </c>
      <c r="W52" s="252" t="s">
        <v>227</v>
      </c>
      <c r="X52" s="252" t="s">
        <v>227</v>
      </c>
      <c r="Y52" s="252" t="s">
        <v>228</v>
      </c>
      <c r="Z52" s="252" t="s">
        <v>228</v>
      </c>
      <c r="AA52" s="252" t="s">
        <v>228</v>
      </c>
      <c r="AB52" s="252" t="s">
        <v>203</v>
      </c>
      <c r="AC52" s="252" t="s">
        <v>203</v>
      </c>
      <c r="AD52" s="252" t="s">
        <v>204</v>
      </c>
      <c r="AE52" s="252" t="s">
        <v>126</v>
      </c>
      <c r="AF52" s="252" t="s">
        <v>227</v>
      </c>
      <c r="AG52" s="252" t="s">
        <v>228</v>
      </c>
      <c r="AH52" s="252" t="s">
        <v>228</v>
      </c>
      <c r="AI52" s="252" t="s">
        <v>228</v>
      </c>
      <c r="AJ52" s="99"/>
      <c r="AL52" s="51">
        <f t="shared" si="15"/>
        <v>0</v>
      </c>
      <c r="AM52" s="51">
        <f t="shared" si="16"/>
        <v>6</v>
      </c>
      <c r="AN52" s="51">
        <f t="shared" si="17"/>
        <v>3</v>
      </c>
      <c r="AO52" s="51">
        <f t="shared" si="18"/>
        <v>5</v>
      </c>
      <c r="AP52" s="51">
        <f t="shared" si="19"/>
        <v>11</v>
      </c>
    </row>
    <row r="53" spans="2:42" ht="18.75" x14ac:dyDescent="0.25">
      <c r="B53" s="37" t="s">
        <v>222</v>
      </c>
      <c r="C53" s="141" t="s">
        <v>151</v>
      </c>
      <c r="D53" s="141"/>
      <c r="F53" s="252" t="s">
        <v>204</v>
      </c>
      <c r="G53" s="252" t="s">
        <v>227</v>
      </c>
      <c r="H53" s="252" t="s">
        <v>228</v>
      </c>
      <c r="I53" s="252" t="s">
        <v>228</v>
      </c>
      <c r="J53" s="252" t="s">
        <v>228</v>
      </c>
      <c r="K53" s="252" t="s">
        <v>203</v>
      </c>
      <c r="L53" s="252" t="s">
        <v>203</v>
      </c>
      <c r="M53" s="252" t="s">
        <v>204</v>
      </c>
      <c r="N53" s="252" t="s">
        <v>204</v>
      </c>
      <c r="O53" s="252" t="s">
        <v>227</v>
      </c>
      <c r="P53" s="252" t="s">
        <v>228</v>
      </c>
      <c r="Q53" s="252" t="s">
        <v>228</v>
      </c>
      <c r="R53" s="252" t="s">
        <v>228</v>
      </c>
      <c r="S53" s="252" t="s">
        <v>203</v>
      </c>
      <c r="T53" s="252" t="s">
        <v>203</v>
      </c>
      <c r="U53" s="252" t="s">
        <v>204</v>
      </c>
      <c r="V53" s="252" t="s">
        <v>227</v>
      </c>
      <c r="W53" s="252" t="s">
        <v>227</v>
      </c>
      <c r="X53" s="252" t="s">
        <v>228</v>
      </c>
      <c r="Y53" s="252" t="s">
        <v>228</v>
      </c>
      <c r="Z53" s="252" t="s">
        <v>228</v>
      </c>
      <c r="AA53" s="252" t="s">
        <v>203</v>
      </c>
      <c r="AB53" s="252" t="s">
        <v>204</v>
      </c>
      <c r="AC53" s="252" t="s">
        <v>204</v>
      </c>
      <c r="AD53" s="252" t="s">
        <v>227</v>
      </c>
      <c r="AE53" s="252" t="s">
        <v>227</v>
      </c>
      <c r="AF53" s="252" t="s">
        <v>228</v>
      </c>
      <c r="AG53" s="252" t="s">
        <v>228</v>
      </c>
      <c r="AH53" s="252" t="s">
        <v>228</v>
      </c>
      <c r="AI53" s="252" t="s">
        <v>203</v>
      </c>
      <c r="AJ53" s="52"/>
      <c r="AL53" s="51">
        <f t="shared" si="15"/>
        <v>0</v>
      </c>
      <c r="AM53" s="51">
        <f t="shared" si="16"/>
        <v>6</v>
      </c>
      <c r="AN53" s="51">
        <f t="shared" si="17"/>
        <v>6</v>
      </c>
      <c r="AO53" s="51">
        <f t="shared" si="18"/>
        <v>6</v>
      </c>
      <c r="AP53" s="51">
        <f t="shared" si="19"/>
        <v>12</v>
      </c>
    </row>
    <row r="54" spans="2:42" ht="18.75" x14ac:dyDescent="0.25">
      <c r="B54" s="37" t="s">
        <v>222</v>
      </c>
      <c r="C54" s="141" t="s">
        <v>152</v>
      </c>
      <c r="D54" s="141"/>
      <c r="F54" s="252" t="s">
        <v>227</v>
      </c>
      <c r="G54" s="252" t="s">
        <v>228</v>
      </c>
      <c r="H54" s="252" t="s">
        <v>228</v>
      </c>
      <c r="I54" s="252" t="s">
        <v>228</v>
      </c>
      <c r="J54" s="252" t="s">
        <v>203</v>
      </c>
      <c r="K54" s="252" t="s">
        <v>204</v>
      </c>
      <c r="L54" s="252" t="s">
        <v>204</v>
      </c>
      <c r="M54" s="252" t="s">
        <v>227</v>
      </c>
      <c r="N54" s="252" t="s">
        <v>227</v>
      </c>
      <c r="O54" s="252" t="s">
        <v>228</v>
      </c>
      <c r="P54" s="252" t="s">
        <v>228</v>
      </c>
      <c r="Q54" s="252" t="s">
        <v>228</v>
      </c>
      <c r="R54" s="252" t="s">
        <v>203</v>
      </c>
      <c r="S54" s="252" t="s">
        <v>203</v>
      </c>
      <c r="T54" s="252" t="s">
        <v>204</v>
      </c>
      <c r="U54" s="252" t="s">
        <v>204</v>
      </c>
      <c r="V54" s="252" t="s">
        <v>227</v>
      </c>
      <c r="W54" s="252" t="s">
        <v>228</v>
      </c>
      <c r="X54" s="252" t="s">
        <v>228</v>
      </c>
      <c r="Y54" s="252" t="s">
        <v>228</v>
      </c>
      <c r="Z54" s="252" t="s">
        <v>203</v>
      </c>
      <c r="AA54" s="252" t="s">
        <v>204</v>
      </c>
      <c r="AB54" s="252" t="s">
        <v>204</v>
      </c>
      <c r="AC54" s="252" t="s">
        <v>227</v>
      </c>
      <c r="AD54" s="252" t="s">
        <v>227</v>
      </c>
      <c r="AE54" s="252" t="s">
        <v>228</v>
      </c>
      <c r="AF54" s="252" t="s">
        <v>228</v>
      </c>
      <c r="AG54" s="252" t="s">
        <v>228</v>
      </c>
      <c r="AH54" s="252" t="s">
        <v>203</v>
      </c>
      <c r="AI54" s="252" t="s">
        <v>204</v>
      </c>
      <c r="AJ54" s="52"/>
      <c r="AL54" s="51">
        <f t="shared" si="15"/>
        <v>0</v>
      </c>
      <c r="AM54" s="51">
        <f t="shared" si="16"/>
        <v>5</v>
      </c>
      <c r="AN54" s="51">
        <f t="shared" si="17"/>
        <v>7</v>
      </c>
      <c r="AO54" s="51">
        <f t="shared" si="18"/>
        <v>6</v>
      </c>
      <c r="AP54" s="51">
        <f t="shared" si="19"/>
        <v>12</v>
      </c>
    </row>
    <row r="55" spans="2:42" ht="18.75" x14ac:dyDescent="0.25">
      <c r="B55" s="37" t="s">
        <v>222</v>
      </c>
      <c r="C55" s="137" t="s">
        <v>153</v>
      </c>
      <c r="D55" s="138"/>
      <c r="F55" s="252" t="s">
        <v>228</v>
      </c>
      <c r="G55" s="252" t="s">
        <v>228</v>
      </c>
      <c r="H55" s="252" t="s">
        <v>228</v>
      </c>
      <c r="I55" s="252" t="s">
        <v>203</v>
      </c>
      <c r="J55" s="252" t="s">
        <v>204</v>
      </c>
      <c r="K55" s="252" t="s">
        <v>227</v>
      </c>
      <c r="L55" s="252" t="s">
        <v>227</v>
      </c>
      <c r="M55" s="252" t="s">
        <v>227</v>
      </c>
      <c r="N55" s="252" t="s">
        <v>228</v>
      </c>
      <c r="O55" s="252" t="s">
        <v>228</v>
      </c>
      <c r="P55" s="252" t="s">
        <v>228</v>
      </c>
      <c r="Q55" s="252" t="s">
        <v>203</v>
      </c>
      <c r="R55" s="252" t="s">
        <v>203</v>
      </c>
      <c r="S55" s="252" t="s">
        <v>204</v>
      </c>
      <c r="T55" s="252" t="s">
        <v>227</v>
      </c>
      <c r="U55" s="252" t="s">
        <v>227</v>
      </c>
      <c r="V55" s="252" t="s">
        <v>228</v>
      </c>
      <c r="W55" s="252" t="s">
        <v>228</v>
      </c>
      <c r="X55" s="252" t="s">
        <v>228</v>
      </c>
      <c r="Y55" s="252" t="s">
        <v>126</v>
      </c>
      <c r="Z55" s="252" t="s">
        <v>203</v>
      </c>
      <c r="AA55" s="252" t="s">
        <v>204</v>
      </c>
      <c r="AB55" s="252" t="s">
        <v>227</v>
      </c>
      <c r="AC55" s="252" t="s">
        <v>227</v>
      </c>
      <c r="AD55" s="252" t="s">
        <v>228</v>
      </c>
      <c r="AE55" s="252" t="s">
        <v>228</v>
      </c>
      <c r="AF55" s="252" t="s">
        <v>228</v>
      </c>
      <c r="AG55" s="252" t="s">
        <v>203</v>
      </c>
      <c r="AH55" s="252" t="s">
        <v>203</v>
      </c>
      <c r="AI55" s="252" t="s">
        <v>204</v>
      </c>
      <c r="AJ55" s="52"/>
      <c r="AL55" s="51">
        <f t="shared" si="15"/>
        <v>0</v>
      </c>
      <c r="AM55" s="51">
        <f t="shared" si="16"/>
        <v>6</v>
      </c>
      <c r="AN55" s="51">
        <f t="shared" si="17"/>
        <v>4</v>
      </c>
      <c r="AO55" s="51">
        <f t="shared" si="18"/>
        <v>7</v>
      </c>
      <c r="AP55" s="51">
        <f t="shared" si="19"/>
        <v>12</v>
      </c>
    </row>
    <row r="56" spans="2:42" ht="18.75" x14ac:dyDescent="0.25">
      <c r="B56" s="37" t="s">
        <v>222</v>
      </c>
      <c r="C56" s="137" t="s">
        <v>235</v>
      </c>
      <c r="D56" s="138"/>
      <c r="F56" s="252" t="s">
        <v>228</v>
      </c>
      <c r="G56" s="252" t="s">
        <v>228</v>
      </c>
      <c r="H56" s="252" t="s">
        <v>203</v>
      </c>
      <c r="I56" s="252" t="s">
        <v>203</v>
      </c>
      <c r="J56" s="252" t="s">
        <v>204</v>
      </c>
      <c r="K56" s="252" t="s">
        <v>227</v>
      </c>
      <c r="L56" s="252" t="s">
        <v>227</v>
      </c>
      <c r="M56" s="252" t="s">
        <v>228</v>
      </c>
      <c r="N56" s="252" t="s">
        <v>228</v>
      </c>
      <c r="O56" s="252" t="s">
        <v>228</v>
      </c>
      <c r="P56" s="252" t="s">
        <v>203</v>
      </c>
      <c r="Q56" s="252" t="s">
        <v>204</v>
      </c>
      <c r="R56" s="252" t="s">
        <v>204</v>
      </c>
      <c r="S56" s="252" t="s">
        <v>227</v>
      </c>
      <c r="T56" s="252" t="s">
        <v>227</v>
      </c>
      <c r="U56" s="252" t="s">
        <v>228</v>
      </c>
      <c r="V56" s="252" t="s">
        <v>228</v>
      </c>
      <c r="W56" s="252" t="s">
        <v>228</v>
      </c>
      <c r="X56" s="252" t="s">
        <v>203</v>
      </c>
      <c r="Y56" s="252" t="s">
        <v>203</v>
      </c>
      <c r="Z56" s="252" t="s">
        <v>204</v>
      </c>
      <c r="AA56" s="252" t="s">
        <v>227</v>
      </c>
      <c r="AB56" s="252" t="s">
        <v>227</v>
      </c>
      <c r="AC56" s="252" t="s">
        <v>228</v>
      </c>
      <c r="AD56" s="252" t="s">
        <v>228</v>
      </c>
      <c r="AE56" s="252" t="s">
        <v>228</v>
      </c>
      <c r="AF56" s="252" t="s">
        <v>203</v>
      </c>
      <c r="AG56" s="252" t="s">
        <v>203</v>
      </c>
      <c r="AH56" s="252" t="s">
        <v>204</v>
      </c>
      <c r="AI56" s="252" t="s">
        <v>227</v>
      </c>
      <c r="AJ56" s="52"/>
      <c r="AL56" s="51">
        <f t="shared" si="15"/>
        <v>0</v>
      </c>
      <c r="AM56" s="51">
        <f t="shared" si="16"/>
        <v>7</v>
      </c>
      <c r="AN56" s="51">
        <f t="shared" si="17"/>
        <v>5</v>
      </c>
      <c r="AO56" s="51">
        <f t="shared" si="18"/>
        <v>7</v>
      </c>
      <c r="AP56" s="51">
        <f t="shared" si="19"/>
        <v>11</v>
      </c>
    </row>
    <row r="57" spans="2:42" ht="18.75" x14ac:dyDescent="0.25">
      <c r="B57" s="37" t="s">
        <v>222</v>
      </c>
      <c r="C57" s="137" t="s">
        <v>187</v>
      </c>
      <c r="D57" s="138"/>
      <c r="F57" s="252" t="s">
        <v>228</v>
      </c>
      <c r="G57" s="252" t="s">
        <v>203</v>
      </c>
      <c r="H57" s="252" t="s">
        <v>203</v>
      </c>
      <c r="I57" s="252" t="s">
        <v>204</v>
      </c>
      <c r="J57" s="252" t="s">
        <v>227</v>
      </c>
      <c r="K57" s="252" t="s">
        <v>228</v>
      </c>
      <c r="L57" s="252" t="s">
        <v>126</v>
      </c>
      <c r="M57" s="252" t="s">
        <v>228</v>
      </c>
      <c r="N57" s="252" t="s">
        <v>228</v>
      </c>
      <c r="O57" s="252" t="s">
        <v>203</v>
      </c>
      <c r="P57" s="252" t="s">
        <v>203</v>
      </c>
      <c r="Q57" s="252" t="s">
        <v>204</v>
      </c>
      <c r="R57" s="252" t="s">
        <v>204</v>
      </c>
      <c r="S57" s="252" t="s">
        <v>227</v>
      </c>
      <c r="T57" s="252" t="s">
        <v>228</v>
      </c>
      <c r="U57" s="252" t="s">
        <v>228</v>
      </c>
      <c r="V57" s="252" t="s">
        <v>228</v>
      </c>
      <c r="W57" s="252" t="s">
        <v>203</v>
      </c>
      <c r="X57" s="252" t="s">
        <v>203</v>
      </c>
      <c r="Y57" s="252" t="s">
        <v>204</v>
      </c>
      <c r="Z57" s="252" t="s">
        <v>204</v>
      </c>
      <c r="AA57" s="252" t="s">
        <v>227</v>
      </c>
      <c r="AB57" s="252" t="s">
        <v>228</v>
      </c>
      <c r="AC57" s="252" t="s">
        <v>228</v>
      </c>
      <c r="AD57" s="252" t="s">
        <v>228</v>
      </c>
      <c r="AE57" s="252" t="s">
        <v>203</v>
      </c>
      <c r="AF57" s="252" t="s">
        <v>203</v>
      </c>
      <c r="AG57" s="252" t="s">
        <v>204</v>
      </c>
      <c r="AH57" s="252" t="s">
        <v>204</v>
      </c>
      <c r="AI57" s="252" t="s">
        <v>227</v>
      </c>
      <c r="AJ57" s="52"/>
      <c r="AL57" s="51">
        <f t="shared" si="15"/>
        <v>0</v>
      </c>
      <c r="AM57" s="51">
        <f t="shared" si="16"/>
        <v>8</v>
      </c>
      <c r="AN57" s="51">
        <f t="shared" si="17"/>
        <v>7</v>
      </c>
      <c r="AO57" s="51">
        <f t="shared" si="18"/>
        <v>4</v>
      </c>
      <c r="AP57" s="51">
        <f t="shared" si="19"/>
        <v>10</v>
      </c>
    </row>
    <row r="58" spans="2:42" ht="18.75" x14ac:dyDescent="0.25">
      <c r="B58" s="37" t="s">
        <v>222</v>
      </c>
      <c r="C58" s="137" t="s">
        <v>186</v>
      </c>
      <c r="D58" s="138"/>
      <c r="F58" s="252" t="s">
        <v>203</v>
      </c>
      <c r="G58" s="252" t="s">
        <v>203</v>
      </c>
      <c r="H58" s="252" t="s">
        <v>204</v>
      </c>
      <c r="I58" s="252" t="s">
        <v>227</v>
      </c>
      <c r="J58" s="252" t="s">
        <v>227</v>
      </c>
      <c r="K58" s="252" t="s">
        <v>228</v>
      </c>
      <c r="L58" s="252" t="s">
        <v>228</v>
      </c>
      <c r="M58" s="252" t="s">
        <v>228</v>
      </c>
      <c r="N58" s="252" t="s">
        <v>203</v>
      </c>
      <c r="O58" s="252" t="s">
        <v>204</v>
      </c>
      <c r="P58" s="252" t="s">
        <v>204</v>
      </c>
      <c r="Q58" s="252" t="s">
        <v>227</v>
      </c>
      <c r="R58" s="252" t="s">
        <v>227</v>
      </c>
      <c r="S58" s="252" t="s">
        <v>228</v>
      </c>
      <c r="T58" s="252" t="s">
        <v>228</v>
      </c>
      <c r="U58" s="252" t="s">
        <v>228</v>
      </c>
      <c r="V58" s="252" t="s">
        <v>203</v>
      </c>
      <c r="W58" s="252" t="s">
        <v>203</v>
      </c>
      <c r="X58" s="252" t="s">
        <v>204</v>
      </c>
      <c r="Y58" s="252" t="s">
        <v>204</v>
      </c>
      <c r="Z58" s="252" t="s">
        <v>227</v>
      </c>
      <c r="AA58" s="252" t="s">
        <v>228</v>
      </c>
      <c r="AB58" s="252" t="s">
        <v>228</v>
      </c>
      <c r="AC58" s="252" t="s">
        <v>228</v>
      </c>
      <c r="AD58" s="252" t="s">
        <v>203</v>
      </c>
      <c r="AE58" s="252" t="s">
        <v>126</v>
      </c>
      <c r="AF58" s="252" t="s">
        <v>204</v>
      </c>
      <c r="AG58" s="252" t="s">
        <v>204</v>
      </c>
      <c r="AH58" s="252" t="s">
        <v>227</v>
      </c>
      <c r="AI58" s="252" t="s">
        <v>228</v>
      </c>
      <c r="AJ58" s="52"/>
      <c r="AL58" s="51">
        <f t="shared" si="15"/>
        <v>0</v>
      </c>
      <c r="AM58" s="51">
        <f t="shared" si="16"/>
        <v>6</v>
      </c>
      <c r="AN58" s="51">
        <f t="shared" si="17"/>
        <v>7</v>
      </c>
      <c r="AO58" s="51">
        <f t="shared" si="18"/>
        <v>6</v>
      </c>
      <c r="AP58" s="51">
        <f t="shared" si="19"/>
        <v>10</v>
      </c>
    </row>
    <row r="59" spans="2:42" ht="18.75" x14ac:dyDescent="0.25">
      <c r="B59" s="37" t="s">
        <v>222</v>
      </c>
      <c r="C59" s="141" t="s">
        <v>154</v>
      </c>
      <c r="D59" s="141"/>
      <c r="F59" s="252" t="s">
        <v>203</v>
      </c>
      <c r="G59" s="252" t="s">
        <v>204</v>
      </c>
      <c r="H59" s="252" t="s">
        <v>227</v>
      </c>
      <c r="I59" s="252" t="s">
        <v>227</v>
      </c>
      <c r="J59" s="252" t="s">
        <v>228</v>
      </c>
      <c r="K59" s="252" t="s">
        <v>228</v>
      </c>
      <c r="L59" s="252" t="s">
        <v>228</v>
      </c>
      <c r="M59" s="252" t="s">
        <v>229</v>
      </c>
      <c r="N59" s="252" t="s">
        <v>229</v>
      </c>
      <c r="O59" s="252" t="s">
        <v>229</v>
      </c>
      <c r="P59" s="252" t="s">
        <v>229</v>
      </c>
      <c r="Q59" s="252" t="s">
        <v>229</v>
      </c>
      <c r="R59" s="252" t="s">
        <v>229</v>
      </c>
      <c r="S59" s="252" t="s">
        <v>229</v>
      </c>
      <c r="T59" s="252" t="s">
        <v>229</v>
      </c>
      <c r="U59" s="252" t="s">
        <v>229</v>
      </c>
      <c r="V59" s="252" t="s">
        <v>229</v>
      </c>
      <c r="W59" s="252" t="s">
        <v>229</v>
      </c>
      <c r="X59" s="252" t="s">
        <v>229</v>
      </c>
      <c r="Y59" s="252" t="s">
        <v>229</v>
      </c>
      <c r="Z59" s="252" t="s">
        <v>229</v>
      </c>
      <c r="AA59" s="252" t="s">
        <v>228</v>
      </c>
      <c r="AB59" s="252" t="s">
        <v>228</v>
      </c>
      <c r="AC59" s="252" t="s">
        <v>203</v>
      </c>
      <c r="AD59" s="252" t="s">
        <v>203</v>
      </c>
      <c r="AE59" s="252" t="s">
        <v>204</v>
      </c>
      <c r="AF59" s="252" t="s">
        <v>204</v>
      </c>
      <c r="AG59" s="252" t="s">
        <v>227</v>
      </c>
      <c r="AH59" s="252" t="s">
        <v>228</v>
      </c>
      <c r="AI59" s="252" t="s">
        <v>228</v>
      </c>
      <c r="AJ59" s="52"/>
      <c r="AL59" s="51">
        <f t="shared" si="15"/>
        <v>0</v>
      </c>
      <c r="AM59" s="51">
        <f t="shared" si="16"/>
        <v>3</v>
      </c>
      <c r="AN59" s="51">
        <f t="shared" si="17"/>
        <v>3</v>
      </c>
      <c r="AO59" s="51">
        <f t="shared" si="18"/>
        <v>3</v>
      </c>
      <c r="AP59" s="51">
        <f t="shared" si="19"/>
        <v>7</v>
      </c>
    </row>
    <row r="60" spans="2:42" ht="18.75" x14ac:dyDescent="0.25">
      <c r="B60" s="37" t="s">
        <v>222</v>
      </c>
      <c r="C60" s="141" t="s">
        <v>155</v>
      </c>
      <c r="D60" s="141"/>
      <c r="F60" s="252" t="s">
        <v>204</v>
      </c>
      <c r="G60" s="252" t="s">
        <v>204</v>
      </c>
      <c r="H60" s="252" t="s">
        <v>227</v>
      </c>
      <c r="I60" s="252" t="s">
        <v>228</v>
      </c>
      <c r="J60" s="252" t="s">
        <v>228</v>
      </c>
      <c r="K60" s="252" t="s">
        <v>228</v>
      </c>
      <c r="L60" s="252" t="s">
        <v>203</v>
      </c>
      <c r="M60" s="252" t="s">
        <v>203</v>
      </c>
      <c r="N60" s="252" t="s">
        <v>204</v>
      </c>
      <c r="O60" s="252" t="s">
        <v>227</v>
      </c>
      <c r="P60" s="252" t="s">
        <v>227</v>
      </c>
      <c r="Q60" s="252" t="s">
        <v>228</v>
      </c>
      <c r="R60" s="252" t="s">
        <v>228</v>
      </c>
      <c r="S60" s="252" t="s">
        <v>228</v>
      </c>
      <c r="T60" s="252" t="s">
        <v>203</v>
      </c>
      <c r="U60" s="252" t="s">
        <v>203</v>
      </c>
      <c r="V60" s="252" t="s">
        <v>204</v>
      </c>
      <c r="W60" s="252" t="s">
        <v>204</v>
      </c>
      <c r="X60" s="252" t="s">
        <v>227</v>
      </c>
      <c r="Y60" s="252" t="s">
        <v>228</v>
      </c>
      <c r="Z60" s="252" t="s">
        <v>228</v>
      </c>
      <c r="AA60" s="252" t="s">
        <v>228</v>
      </c>
      <c r="AB60" s="252" t="s">
        <v>203</v>
      </c>
      <c r="AC60" s="252" t="s">
        <v>203</v>
      </c>
      <c r="AD60" s="252" t="s">
        <v>204</v>
      </c>
      <c r="AE60" s="252" t="s">
        <v>227</v>
      </c>
      <c r="AF60" s="252" t="s">
        <v>227</v>
      </c>
      <c r="AG60" s="252" t="s">
        <v>228</v>
      </c>
      <c r="AH60" s="252" t="s">
        <v>228</v>
      </c>
      <c r="AI60" s="252" t="s">
        <v>228</v>
      </c>
      <c r="AJ60" s="52"/>
      <c r="AL60" s="51">
        <f t="shared" si="15"/>
        <v>0</v>
      </c>
      <c r="AM60" s="51">
        <f t="shared" si="16"/>
        <v>6</v>
      </c>
      <c r="AN60" s="51">
        <f t="shared" si="17"/>
        <v>6</v>
      </c>
      <c r="AO60" s="51">
        <f t="shared" si="18"/>
        <v>6</v>
      </c>
      <c r="AP60" s="51">
        <f t="shared" si="19"/>
        <v>12</v>
      </c>
    </row>
    <row r="61" spans="2:42" ht="18.75" x14ac:dyDescent="0.25">
      <c r="B61" s="37" t="s">
        <v>222</v>
      </c>
      <c r="C61" s="137" t="s">
        <v>156</v>
      </c>
      <c r="D61" s="138"/>
      <c r="F61" s="252" t="s">
        <v>204</v>
      </c>
      <c r="G61" s="252" t="s">
        <v>227</v>
      </c>
      <c r="H61" s="252" t="s">
        <v>228</v>
      </c>
      <c r="I61" s="252" t="s">
        <v>228</v>
      </c>
      <c r="J61" s="252" t="s">
        <v>228</v>
      </c>
      <c r="K61" s="252" t="s">
        <v>203</v>
      </c>
      <c r="L61" s="252" t="s">
        <v>204</v>
      </c>
      <c r="M61" s="252" t="s">
        <v>204</v>
      </c>
      <c r="N61" s="252" t="s">
        <v>227</v>
      </c>
      <c r="O61" s="252" t="s">
        <v>227</v>
      </c>
      <c r="P61" s="252" t="s">
        <v>228</v>
      </c>
      <c r="Q61" s="252" t="s">
        <v>228</v>
      </c>
      <c r="R61" s="252" t="s">
        <v>228</v>
      </c>
      <c r="S61" s="252" t="s">
        <v>203</v>
      </c>
      <c r="T61" s="252" t="s">
        <v>204</v>
      </c>
      <c r="U61" s="252" t="s">
        <v>204</v>
      </c>
      <c r="V61" s="252" t="s">
        <v>227</v>
      </c>
      <c r="W61" s="252" t="s">
        <v>227</v>
      </c>
      <c r="X61" s="252" t="s">
        <v>228</v>
      </c>
      <c r="Y61" s="252" t="s">
        <v>228</v>
      </c>
      <c r="Z61" s="252" t="s">
        <v>228</v>
      </c>
      <c r="AA61" s="252" t="s">
        <v>203</v>
      </c>
      <c r="AB61" s="252" t="s">
        <v>203</v>
      </c>
      <c r="AC61" s="252" t="s">
        <v>204</v>
      </c>
      <c r="AD61" s="252" t="s">
        <v>204</v>
      </c>
      <c r="AE61" s="252" t="s">
        <v>227</v>
      </c>
      <c r="AF61" s="252" t="s">
        <v>228</v>
      </c>
      <c r="AG61" s="252" t="s">
        <v>228</v>
      </c>
      <c r="AH61" s="252" t="s">
        <v>228</v>
      </c>
      <c r="AI61" s="252" t="s">
        <v>203</v>
      </c>
      <c r="AJ61" s="52"/>
      <c r="AL61" s="51">
        <f t="shared" si="15"/>
        <v>0</v>
      </c>
      <c r="AM61" s="51">
        <f t="shared" si="16"/>
        <v>5</v>
      </c>
      <c r="AN61" s="51">
        <f t="shared" si="17"/>
        <v>7</v>
      </c>
      <c r="AO61" s="51">
        <f t="shared" si="18"/>
        <v>6</v>
      </c>
      <c r="AP61" s="51">
        <f t="shared" si="19"/>
        <v>12</v>
      </c>
    </row>
    <row r="62" spans="2:42" ht="18.75" x14ac:dyDescent="0.25">
      <c r="B62" s="37" t="s">
        <v>222</v>
      </c>
      <c r="C62" s="141" t="s">
        <v>157</v>
      </c>
      <c r="D62" s="141"/>
      <c r="F62" s="252" t="s">
        <v>227</v>
      </c>
      <c r="G62" s="252" t="s">
        <v>228</v>
      </c>
      <c r="H62" s="252" t="s">
        <v>228</v>
      </c>
      <c r="I62" s="252" t="s">
        <v>228</v>
      </c>
      <c r="J62" s="252" t="s">
        <v>203</v>
      </c>
      <c r="K62" s="252" t="s">
        <v>203</v>
      </c>
      <c r="L62" s="252" t="s">
        <v>204</v>
      </c>
      <c r="M62" s="252" t="s">
        <v>204</v>
      </c>
      <c r="N62" s="252" t="s">
        <v>126</v>
      </c>
      <c r="O62" s="252" t="s">
        <v>228</v>
      </c>
      <c r="P62" s="252" t="s">
        <v>228</v>
      </c>
      <c r="Q62" s="252" t="s">
        <v>228</v>
      </c>
      <c r="R62" s="252" t="s">
        <v>203</v>
      </c>
      <c r="S62" s="252" t="s">
        <v>203</v>
      </c>
      <c r="T62" s="252" t="s">
        <v>204</v>
      </c>
      <c r="U62" s="252" t="s">
        <v>204</v>
      </c>
      <c r="V62" s="252" t="s">
        <v>227</v>
      </c>
      <c r="W62" s="252" t="s">
        <v>228</v>
      </c>
      <c r="X62" s="252" t="s">
        <v>228</v>
      </c>
      <c r="Y62" s="252" t="s">
        <v>228</v>
      </c>
      <c r="Z62" s="252" t="s">
        <v>203</v>
      </c>
      <c r="AA62" s="252" t="s">
        <v>203</v>
      </c>
      <c r="AB62" s="254" t="s">
        <v>204</v>
      </c>
      <c r="AC62" s="252" t="s">
        <v>227</v>
      </c>
      <c r="AD62" s="252" t="s">
        <v>227</v>
      </c>
      <c r="AE62" s="252" t="s">
        <v>228</v>
      </c>
      <c r="AF62" s="252" t="s">
        <v>228</v>
      </c>
      <c r="AG62" s="252" t="s">
        <v>228</v>
      </c>
      <c r="AH62" s="252" t="s">
        <v>203</v>
      </c>
      <c r="AI62" s="252" t="s">
        <v>204</v>
      </c>
      <c r="AJ62" s="52"/>
      <c r="AL62" s="51">
        <f t="shared" si="15"/>
        <v>0</v>
      </c>
      <c r="AM62" s="51">
        <f t="shared" si="16"/>
        <v>7</v>
      </c>
      <c r="AN62" s="51">
        <f t="shared" si="17"/>
        <v>6</v>
      </c>
      <c r="AO62" s="51">
        <f t="shared" si="18"/>
        <v>4</v>
      </c>
      <c r="AP62" s="51">
        <f t="shared" si="19"/>
        <v>12</v>
      </c>
    </row>
    <row r="63" spans="2:42" ht="19.5" thickBot="1" x14ac:dyDescent="0.3">
      <c r="B63" s="37" t="s">
        <v>222</v>
      </c>
      <c r="C63" s="141" t="s">
        <v>239</v>
      </c>
      <c r="D63" s="141"/>
      <c r="F63" s="255" t="s">
        <v>213</v>
      </c>
      <c r="G63" s="255" t="s">
        <v>203</v>
      </c>
      <c r="H63" s="255" t="s">
        <v>203</v>
      </c>
      <c r="I63" s="255" t="s">
        <v>228</v>
      </c>
      <c r="J63" s="255" t="s">
        <v>228</v>
      </c>
      <c r="K63" s="255" t="s">
        <v>213</v>
      </c>
      <c r="L63" s="255" t="s">
        <v>213</v>
      </c>
      <c r="M63" s="255" t="s">
        <v>213</v>
      </c>
      <c r="N63" s="255" t="s">
        <v>203</v>
      </c>
      <c r="O63" s="255" t="s">
        <v>203</v>
      </c>
      <c r="P63" s="255" t="s">
        <v>228</v>
      </c>
      <c r="Q63" s="255" t="s">
        <v>228</v>
      </c>
      <c r="R63" s="255" t="s">
        <v>213</v>
      </c>
      <c r="S63" s="255" t="s">
        <v>213</v>
      </c>
      <c r="T63" s="255" t="s">
        <v>213</v>
      </c>
      <c r="U63" s="255" t="s">
        <v>203</v>
      </c>
      <c r="V63" s="255" t="s">
        <v>203</v>
      </c>
      <c r="W63" s="255" t="s">
        <v>228</v>
      </c>
      <c r="X63" s="255" t="s">
        <v>228</v>
      </c>
      <c r="Y63" s="255" t="s">
        <v>213</v>
      </c>
      <c r="Z63" s="255" t="s">
        <v>213</v>
      </c>
      <c r="AA63" s="255" t="s">
        <v>213</v>
      </c>
      <c r="AB63" s="255" t="s">
        <v>203</v>
      </c>
      <c r="AC63" s="255" t="s">
        <v>203</v>
      </c>
      <c r="AD63" s="255" t="s">
        <v>228</v>
      </c>
      <c r="AE63" s="255" t="s">
        <v>228</v>
      </c>
      <c r="AF63" s="255" t="s">
        <v>213</v>
      </c>
      <c r="AG63" s="255" t="s">
        <v>213</v>
      </c>
      <c r="AH63" s="255" t="s">
        <v>213</v>
      </c>
      <c r="AI63" s="255" t="s">
        <v>203</v>
      </c>
      <c r="AJ63" s="61"/>
      <c r="AL63" s="51">
        <f t="shared" si="15"/>
        <v>0</v>
      </c>
      <c r="AM63" s="51">
        <f t="shared" si="16"/>
        <v>22</v>
      </c>
      <c r="AN63" s="51">
        <f t="shared" si="17"/>
        <v>0</v>
      </c>
      <c r="AO63" s="51">
        <f t="shared" si="18"/>
        <v>0</v>
      </c>
      <c r="AP63" s="51">
        <f t="shared" si="19"/>
        <v>8</v>
      </c>
    </row>
    <row r="64" spans="2:42" ht="18.75" x14ac:dyDescent="0.25">
      <c r="B64" s="37" t="s">
        <v>223</v>
      </c>
      <c r="C64" s="139" t="s">
        <v>170</v>
      </c>
      <c r="D64" s="140"/>
      <c r="F64" s="251" t="s">
        <v>228</v>
      </c>
      <c r="G64" s="258" t="s">
        <v>203</v>
      </c>
      <c r="H64" s="251" t="s">
        <v>204</v>
      </c>
      <c r="I64" s="251" t="s">
        <v>204</v>
      </c>
      <c r="J64" s="251" t="s">
        <v>227</v>
      </c>
      <c r="K64" s="251" t="s">
        <v>227</v>
      </c>
      <c r="L64" s="251" t="s">
        <v>228</v>
      </c>
      <c r="M64" s="251" t="s">
        <v>228</v>
      </c>
      <c r="N64" s="251" t="s">
        <v>228</v>
      </c>
      <c r="O64" s="258" t="s">
        <v>203</v>
      </c>
      <c r="P64" s="258" t="s">
        <v>203</v>
      </c>
      <c r="Q64" s="251" t="s">
        <v>204</v>
      </c>
      <c r="R64" s="251" t="s">
        <v>204</v>
      </c>
      <c r="S64" s="251" t="s">
        <v>227</v>
      </c>
      <c r="T64" s="251" t="s">
        <v>228</v>
      </c>
      <c r="U64" s="251" t="s">
        <v>228</v>
      </c>
      <c r="V64" s="251" t="s">
        <v>228</v>
      </c>
      <c r="W64" s="258" t="s">
        <v>203</v>
      </c>
      <c r="X64" s="251" t="s">
        <v>204</v>
      </c>
      <c r="Y64" s="251" t="s">
        <v>204</v>
      </c>
      <c r="Z64" s="251" t="s">
        <v>227</v>
      </c>
      <c r="AA64" s="251" t="s">
        <v>227</v>
      </c>
      <c r="AB64" s="251" t="s">
        <v>228</v>
      </c>
      <c r="AC64" s="251" t="s">
        <v>228</v>
      </c>
      <c r="AD64" s="251" t="s">
        <v>228</v>
      </c>
      <c r="AE64" s="258" t="s">
        <v>203</v>
      </c>
      <c r="AF64" s="251" t="s">
        <v>204</v>
      </c>
      <c r="AG64" s="251" t="s">
        <v>204</v>
      </c>
      <c r="AH64" s="251" t="s">
        <v>227</v>
      </c>
      <c r="AI64" s="251" t="s">
        <v>227</v>
      </c>
      <c r="AJ64" s="23"/>
      <c r="AL64" s="51">
        <f t="shared" si="15"/>
        <v>0</v>
      </c>
      <c r="AM64" s="51">
        <f t="shared" si="16"/>
        <v>5</v>
      </c>
      <c r="AN64" s="51">
        <f t="shared" si="17"/>
        <v>8</v>
      </c>
      <c r="AO64" s="51">
        <f t="shared" si="18"/>
        <v>7</v>
      </c>
      <c r="AP64" s="51">
        <f t="shared" si="19"/>
        <v>10</v>
      </c>
    </row>
    <row r="65" spans="2:42" ht="18.75" x14ac:dyDescent="0.25">
      <c r="B65" s="37" t="s">
        <v>223</v>
      </c>
      <c r="C65" s="137" t="s">
        <v>171</v>
      </c>
      <c r="D65" s="138"/>
      <c r="F65" s="252" t="s">
        <v>203</v>
      </c>
      <c r="G65" s="252" t="s">
        <v>203</v>
      </c>
      <c r="H65" s="252" t="s">
        <v>204</v>
      </c>
      <c r="I65" s="252" t="s">
        <v>204</v>
      </c>
      <c r="J65" s="252" t="s">
        <v>227</v>
      </c>
      <c r="K65" s="251" t="s">
        <v>228</v>
      </c>
      <c r="L65" s="251" t="s">
        <v>228</v>
      </c>
      <c r="M65" s="251" t="s">
        <v>228</v>
      </c>
      <c r="N65" s="258" t="s">
        <v>203</v>
      </c>
      <c r="O65" s="252" t="s">
        <v>204</v>
      </c>
      <c r="P65" s="252" t="s">
        <v>204</v>
      </c>
      <c r="Q65" s="251" t="s">
        <v>227</v>
      </c>
      <c r="R65" s="251" t="s">
        <v>227</v>
      </c>
      <c r="S65" s="251" t="s">
        <v>228</v>
      </c>
      <c r="T65" s="251" t="s">
        <v>228</v>
      </c>
      <c r="U65" s="251" t="s">
        <v>228</v>
      </c>
      <c r="V65" s="258" t="s">
        <v>203</v>
      </c>
      <c r="W65" s="252" t="s">
        <v>204</v>
      </c>
      <c r="X65" s="252" t="s">
        <v>204</v>
      </c>
      <c r="Y65" s="251" t="s">
        <v>126</v>
      </c>
      <c r="Z65" s="251" t="s">
        <v>227</v>
      </c>
      <c r="AA65" s="251" t="s">
        <v>228</v>
      </c>
      <c r="AB65" s="251" t="s">
        <v>228</v>
      </c>
      <c r="AC65" s="251" t="s">
        <v>228</v>
      </c>
      <c r="AD65" s="252" t="s">
        <v>203</v>
      </c>
      <c r="AE65" s="252" t="s">
        <v>203</v>
      </c>
      <c r="AF65" s="252" t="s">
        <v>204</v>
      </c>
      <c r="AG65" s="252" t="s">
        <v>204</v>
      </c>
      <c r="AH65" s="252" t="s">
        <v>227</v>
      </c>
      <c r="AI65" s="251" t="s">
        <v>228</v>
      </c>
      <c r="AJ65" s="23"/>
      <c r="AL65" s="51">
        <f t="shared" si="15"/>
        <v>0</v>
      </c>
      <c r="AM65" s="51">
        <f t="shared" si="16"/>
        <v>6</v>
      </c>
      <c r="AN65" s="51">
        <f t="shared" si="17"/>
        <v>8</v>
      </c>
      <c r="AO65" s="51">
        <f t="shared" si="18"/>
        <v>5</v>
      </c>
      <c r="AP65" s="51">
        <f t="shared" si="19"/>
        <v>10</v>
      </c>
    </row>
    <row r="66" spans="2:42" ht="18.75" x14ac:dyDescent="0.25">
      <c r="B66" s="37" t="s">
        <v>223</v>
      </c>
      <c r="C66" s="137" t="s">
        <v>237</v>
      </c>
      <c r="D66" s="138"/>
      <c r="F66" s="252" t="s">
        <v>203</v>
      </c>
      <c r="G66" s="252" t="s">
        <v>204</v>
      </c>
      <c r="H66" s="252" t="s">
        <v>204</v>
      </c>
      <c r="I66" s="252" t="s">
        <v>227</v>
      </c>
      <c r="J66" s="251" t="s">
        <v>228</v>
      </c>
      <c r="K66" s="251" t="s">
        <v>228</v>
      </c>
      <c r="L66" s="251" t="s">
        <v>228</v>
      </c>
      <c r="M66" s="258" t="s">
        <v>229</v>
      </c>
      <c r="N66" s="258" t="s">
        <v>229</v>
      </c>
      <c r="O66" s="252" t="s">
        <v>204</v>
      </c>
      <c r="P66" s="251" t="s">
        <v>227</v>
      </c>
      <c r="Q66" s="251" t="s">
        <v>227</v>
      </c>
      <c r="R66" s="251" t="s">
        <v>228</v>
      </c>
      <c r="S66" s="251" t="s">
        <v>228</v>
      </c>
      <c r="T66" s="251" t="s">
        <v>228</v>
      </c>
      <c r="U66" s="258" t="s">
        <v>203</v>
      </c>
      <c r="V66" s="252" t="s">
        <v>204</v>
      </c>
      <c r="W66" s="252" t="s">
        <v>204</v>
      </c>
      <c r="X66" s="252" t="s">
        <v>126</v>
      </c>
      <c r="Y66" s="251" t="s">
        <v>227</v>
      </c>
      <c r="Z66" s="251" t="s">
        <v>228</v>
      </c>
      <c r="AA66" s="251" t="s">
        <v>228</v>
      </c>
      <c r="AB66" s="251" t="s">
        <v>228</v>
      </c>
      <c r="AC66" s="252" t="s">
        <v>203</v>
      </c>
      <c r="AD66" s="252" t="s">
        <v>203</v>
      </c>
      <c r="AE66" s="252" t="s">
        <v>204</v>
      </c>
      <c r="AF66" s="252" t="s">
        <v>204</v>
      </c>
      <c r="AG66" s="252" t="s">
        <v>227</v>
      </c>
      <c r="AH66" s="251" t="s">
        <v>228</v>
      </c>
      <c r="AI66" s="251" t="s">
        <v>228</v>
      </c>
      <c r="AJ66" s="23"/>
      <c r="AL66" s="51">
        <f t="shared" si="15"/>
        <v>0</v>
      </c>
      <c r="AM66" s="51">
        <f t="shared" si="16"/>
        <v>4</v>
      </c>
      <c r="AN66" s="51">
        <f t="shared" si="17"/>
        <v>7</v>
      </c>
      <c r="AO66" s="51">
        <f t="shared" si="18"/>
        <v>5</v>
      </c>
      <c r="AP66" s="51">
        <f t="shared" si="19"/>
        <v>11</v>
      </c>
    </row>
    <row r="67" spans="2:42" ht="18.75" x14ac:dyDescent="0.25">
      <c r="B67" s="37" t="s">
        <v>223</v>
      </c>
      <c r="C67" s="137" t="s">
        <v>172</v>
      </c>
      <c r="D67" s="138"/>
      <c r="F67" s="252" t="s">
        <v>204</v>
      </c>
      <c r="G67" s="251" t="s">
        <v>227</v>
      </c>
      <c r="H67" s="251" t="s">
        <v>227</v>
      </c>
      <c r="I67" s="251" t="s">
        <v>228</v>
      </c>
      <c r="J67" s="251" t="s">
        <v>228</v>
      </c>
      <c r="K67" s="251" t="s">
        <v>228</v>
      </c>
      <c r="L67" s="258" t="s">
        <v>203</v>
      </c>
      <c r="M67" s="258" t="s">
        <v>203</v>
      </c>
      <c r="N67" s="252" t="s">
        <v>204</v>
      </c>
      <c r="O67" s="252" t="s">
        <v>227</v>
      </c>
      <c r="P67" s="251" t="s">
        <v>227</v>
      </c>
      <c r="Q67" s="251" t="s">
        <v>228</v>
      </c>
      <c r="R67" s="251" t="s">
        <v>228</v>
      </c>
      <c r="S67" s="251" t="s">
        <v>228</v>
      </c>
      <c r="T67" s="258" t="s">
        <v>203</v>
      </c>
      <c r="U67" s="252" t="s">
        <v>204</v>
      </c>
      <c r="V67" s="252" t="s">
        <v>204</v>
      </c>
      <c r="W67" s="251" t="s">
        <v>227</v>
      </c>
      <c r="X67" s="251" t="s">
        <v>227</v>
      </c>
      <c r="Y67" s="251" t="s">
        <v>228</v>
      </c>
      <c r="Z67" s="251" t="s">
        <v>228</v>
      </c>
      <c r="AA67" s="251" t="s">
        <v>228</v>
      </c>
      <c r="AB67" s="258" t="s">
        <v>203</v>
      </c>
      <c r="AC67" s="258" t="s">
        <v>203</v>
      </c>
      <c r="AD67" s="252" t="s">
        <v>204</v>
      </c>
      <c r="AE67" s="251" t="s">
        <v>227</v>
      </c>
      <c r="AF67" s="251" t="s">
        <v>227</v>
      </c>
      <c r="AG67" s="251" t="s">
        <v>228</v>
      </c>
      <c r="AH67" s="251" t="s">
        <v>228</v>
      </c>
      <c r="AI67" s="251" t="s">
        <v>228</v>
      </c>
      <c r="AJ67" s="27"/>
      <c r="AL67" s="51">
        <f t="shared" si="15"/>
        <v>0</v>
      </c>
      <c r="AM67" s="51">
        <f t="shared" si="16"/>
        <v>5</v>
      </c>
      <c r="AN67" s="51">
        <f t="shared" si="17"/>
        <v>5</v>
      </c>
      <c r="AO67" s="51">
        <f t="shared" si="18"/>
        <v>8</v>
      </c>
      <c r="AP67" s="51">
        <f t="shared" si="19"/>
        <v>12</v>
      </c>
    </row>
    <row r="68" spans="2:42" ht="18.75" x14ac:dyDescent="0.25">
      <c r="B68" s="37" t="s">
        <v>223</v>
      </c>
      <c r="C68" s="137" t="s">
        <v>173</v>
      </c>
      <c r="D68" s="138"/>
      <c r="F68" s="251" t="s">
        <v>227</v>
      </c>
      <c r="G68" s="251" t="s">
        <v>227</v>
      </c>
      <c r="H68" s="251" t="s">
        <v>228</v>
      </c>
      <c r="I68" s="251" t="s">
        <v>228</v>
      </c>
      <c r="J68" s="251" t="s">
        <v>228</v>
      </c>
      <c r="K68" s="258" t="s">
        <v>203</v>
      </c>
      <c r="L68" s="258" t="s">
        <v>203</v>
      </c>
      <c r="M68" s="252" t="s">
        <v>204</v>
      </c>
      <c r="N68" s="252" t="s">
        <v>204</v>
      </c>
      <c r="O68" s="251" t="s">
        <v>227</v>
      </c>
      <c r="P68" s="251" t="s">
        <v>228</v>
      </c>
      <c r="Q68" s="251" t="s">
        <v>228</v>
      </c>
      <c r="R68" s="251" t="s">
        <v>228</v>
      </c>
      <c r="S68" s="258" t="s">
        <v>203</v>
      </c>
      <c r="T68" s="258" t="s">
        <v>203</v>
      </c>
      <c r="U68" s="252" t="s">
        <v>204</v>
      </c>
      <c r="V68" s="252" t="s">
        <v>227</v>
      </c>
      <c r="W68" s="251" t="s">
        <v>227</v>
      </c>
      <c r="X68" s="251" t="s">
        <v>228</v>
      </c>
      <c r="Y68" s="251" t="s">
        <v>228</v>
      </c>
      <c r="Z68" s="251" t="s">
        <v>228</v>
      </c>
      <c r="AA68" s="258" t="s">
        <v>203</v>
      </c>
      <c r="AB68" s="258" t="s">
        <v>203</v>
      </c>
      <c r="AC68" s="252" t="s">
        <v>204</v>
      </c>
      <c r="AD68" s="251" t="s">
        <v>227</v>
      </c>
      <c r="AE68" s="251" t="s">
        <v>227</v>
      </c>
      <c r="AF68" s="251" t="s">
        <v>228</v>
      </c>
      <c r="AG68" s="251" t="s">
        <v>228</v>
      </c>
      <c r="AH68" s="251" t="s">
        <v>228</v>
      </c>
      <c r="AI68" s="258" t="s">
        <v>203</v>
      </c>
      <c r="AJ68" s="52"/>
      <c r="AL68" s="51">
        <f t="shared" si="15"/>
        <v>0</v>
      </c>
      <c r="AM68" s="51">
        <f t="shared" si="16"/>
        <v>7</v>
      </c>
      <c r="AN68" s="51">
        <f t="shared" si="17"/>
        <v>4</v>
      </c>
      <c r="AO68" s="51">
        <f t="shared" si="18"/>
        <v>7</v>
      </c>
      <c r="AP68" s="51">
        <f t="shared" si="19"/>
        <v>12</v>
      </c>
    </row>
    <row r="69" spans="2:42" ht="18.75" x14ac:dyDescent="0.25">
      <c r="B69" s="37" t="s">
        <v>223</v>
      </c>
      <c r="C69" s="137" t="s">
        <v>174</v>
      </c>
      <c r="D69" s="138"/>
      <c r="F69" s="251" t="s">
        <v>227</v>
      </c>
      <c r="G69" s="251" t="s">
        <v>228</v>
      </c>
      <c r="H69" s="251" t="s">
        <v>228</v>
      </c>
      <c r="I69" s="251" t="s">
        <v>228</v>
      </c>
      <c r="J69" s="258" t="s">
        <v>203</v>
      </c>
      <c r="K69" s="258" t="s">
        <v>203</v>
      </c>
      <c r="L69" s="252" t="s">
        <v>204</v>
      </c>
      <c r="M69" s="251" t="s">
        <v>204</v>
      </c>
      <c r="N69" s="251" t="s">
        <v>227</v>
      </c>
      <c r="O69" s="251" t="s">
        <v>228</v>
      </c>
      <c r="P69" s="251" t="s">
        <v>228</v>
      </c>
      <c r="Q69" s="251" t="s">
        <v>228</v>
      </c>
      <c r="R69" s="258" t="s">
        <v>126</v>
      </c>
      <c r="S69" s="258" t="s">
        <v>203</v>
      </c>
      <c r="T69" s="252" t="s">
        <v>204</v>
      </c>
      <c r="U69" s="252" t="s">
        <v>227</v>
      </c>
      <c r="V69" s="251" t="s">
        <v>227</v>
      </c>
      <c r="W69" s="251" t="s">
        <v>228</v>
      </c>
      <c r="X69" s="251" t="s">
        <v>228</v>
      </c>
      <c r="Y69" s="251" t="s">
        <v>228</v>
      </c>
      <c r="Z69" s="258" t="s">
        <v>126</v>
      </c>
      <c r="AA69" s="252" t="s">
        <v>204</v>
      </c>
      <c r="AB69" s="254" t="s">
        <v>227</v>
      </c>
      <c r="AC69" s="251" t="s">
        <v>227</v>
      </c>
      <c r="AD69" s="251" t="s">
        <v>227</v>
      </c>
      <c r="AE69" s="251" t="s">
        <v>228</v>
      </c>
      <c r="AF69" s="251" t="s">
        <v>228</v>
      </c>
      <c r="AG69" s="251" t="s">
        <v>228</v>
      </c>
      <c r="AH69" s="258" t="s">
        <v>203</v>
      </c>
      <c r="AI69" s="258" t="s">
        <v>203</v>
      </c>
      <c r="AJ69" s="23"/>
      <c r="AL69" s="51">
        <f t="shared" si="15"/>
        <v>0</v>
      </c>
      <c r="AM69" s="51">
        <f t="shared" si="16"/>
        <v>5</v>
      </c>
      <c r="AN69" s="51">
        <f t="shared" si="17"/>
        <v>4</v>
      </c>
      <c r="AO69" s="51">
        <f t="shared" si="18"/>
        <v>7</v>
      </c>
      <c r="AP69" s="51">
        <f t="shared" si="19"/>
        <v>12</v>
      </c>
    </row>
    <row r="70" spans="2:42" ht="18.75" x14ac:dyDescent="0.25">
      <c r="B70" s="37" t="s">
        <v>223</v>
      </c>
      <c r="C70" s="137" t="s">
        <v>175</v>
      </c>
      <c r="D70" s="138"/>
      <c r="F70" s="251" t="s">
        <v>229</v>
      </c>
      <c r="G70" s="251" t="s">
        <v>228</v>
      </c>
      <c r="H70" s="251" t="s">
        <v>228</v>
      </c>
      <c r="I70" s="258" t="s">
        <v>203</v>
      </c>
      <c r="J70" s="252" t="s">
        <v>204</v>
      </c>
      <c r="K70" s="251" t="s">
        <v>227</v>
      </c>
      <c r="L70" s="251" t="s">
        <v>227</v>
      </c>
      <c r="M70" s="251" t="s">
        <v>227</v>
      </c>
      <c r="N70" s="251" t="s">
        <v>228</v>
      </c>
      <c r="O70" s="251" t="s">
        <v>228</v>
      </c>
      <c r="P70" s="251" t="s">
        <v>228</v>
      </c>
      <c r="Q70" s="258" t="s">
        <v>203</v>
      </c>
      <c r="R70" s="252" t="s">
        <v>203</v>
      </c>
      <c r="S70" s="252" t="s">
        <v>204</v>
      </c>
      <c r="T70" s="251" t="s">
        <v>227</v>
      </c>
      <c r="U70" s="251" t="s">
        <v>227</v>
      </c>
      <c r="V70" s="251" t="s">
        <v>228</v>
      </c>
      <c r="W70" s="251" t="s">
        <v>228</v>
      </c>
      <c r="X70" s="251" t="s">
        <v>228</v>
      </c>
      <c r="Y70" s="258" t="s">
        <v>203</v>
      </c>
      <c r="Z70" s="252" t="s">
        <v>203</v>
      </c>
      <c r="AA70" s="252" t="s">
        <v>204</v>
      </c>
      <c r="AB70" s="251" t="s">
        <v>227</v>
      </c>
      <c r="AC70" s="251" t="s">
        <v>227</v>
      </c>
      <c r="AD70" s="251" t="s">
        <v>228</v>
      </c>
      <c r="AE70" s="251" t="s">
        <v>228</v>
      </c>
      <c r="AF70" s="251" t="s">
        <v>228</v>
      </c>
      <c r="AG70" s="258" t="s">
        <v>203</v>
      </c>
      <c r="AH70" s="252" t="s">
        <v>204</v>
      </c>
      <c r="AI70" s="251" t="s">
        <v>227</v>
      </c>
      <c r="AJ70" s="23"/>
      <c r="AL70" s="51">
        <f t="shared" si="15"/>
        <v>0</v>
      </c>
      <c r="AM70" s="51">
        <f t="shared" si="16"/>
        <v>6</v>
      </c>
      <c r="AN70" s="51">
        <f t="shared" si="17"/>
        <v>4</v>
      </c>
      <c r="AO70" s="51">
        <f t="shared" si="18"/>
        <v>8</v>
      </c>
      <c r="AP70" s="51">
        <f t="shared" si="19"/>
        <v>11</v>
      </c>
    </row>
    <row r="71" spans="2:42" ht="18.75" x14ac:dyDescent="0.25">
      <c r="B71" s="37" t="s">
        <v>223</v>
      </c>
      <c r="C71" s="137" t="s">
        <v>176</v>
      </c>
      <c r="D71" s="138"/>
      <c r="F71" s="251" t="s">
        <v>228</v>
      </c>
      <c r="G71" s="251" t="s">
        <v>228</v>
      </c>
      <c r="H71" s="252" t="s">
        <v>203</v>
      </c>
      <c r="I71" s="252" t="s">
        <v>203</v>
      </c>
      <c r="J71" s="252" t="s">
        <v>204</v>
      </c>
      <c r="K71" s="252" t="s">
        <v>204</v>
      </c>
      <c r="L71" s="252" t="s">
        <v>227</v>
      </c>
      <c r="M71" s="252" t="s">
        <v>228</v>
      </c>
      <c r="N71" s="252" t="s">
        <v>228</v>
      </c>
      <c r="O71" s="252" t="s">
        <v>228</v>
      </c>
      <c r="P71" s="252" t="s">
        <v>203</v>
      </c>
      <c r="Q71" s="252" t="s">
        <v>126</v>
      </c>
      <c r="R71" s="252" t="s">
        <v>204</v>
      </c>
      <c r="S71" s="252" t="s">
        <v>204</v>
      </c>
      <c r="T71" s="252" t="s">
        <v>227</v>
      </c>
      <c r="U71" s="251" t="s">
        <v>228</v>
      </c>
      <c r="V71" s="251" t="s">
        <v>228</v>
      </c>
      <c r="W71" s="251" t="s">
        <v>228</v>
      </c>
      <c r="X71" s="258" t="s">
        <v>203</v>
      </c>
      <c r="Y71" s="252" t="s">
        <v>204</v>
      </c>
      <c r="Z71" s="252" t="s">
        <v>204</v>
      </c>
      <c r="AA71" s="251" t="s">
        <v>227</v>
      </c>
      <c r="AB71" s="251" t="s">
        <v>227</v>
      </c>
      <c r="AC71" s="251" t="s">
        <v>228</v>
      </c>
      <c r="AD71" s="251" t="s">
        <v>228</v>
      </c>
      <c r="AE71" s="251" t="s">
        <v>228</v>
      </c>
      <c r="AF71" s="252" t="s">
        <v>203</v>
      </c>
      <c r="AG71" s="252" t="s">
        <v>203</v>
      </c>
      <c r="AH71" s="252" t="s">
        <v>204</v>
      </c>
      <c r="AI71" s="252" t="s">
        <v>204</v>
      </c>
      <c r="AJ71" s="23"/>
      <c r="AL71" s="51">
        <f t="shared" si="15"/>
        <v>0</v>
      </c>
      <c r="AM71" s="51">
        <f t="shared" si="16"/>
        <v>6</v>
      </c>
      <c r="AN71" s="51">
        <f t="shared" si="17"/>
        <v>8</v>
      </c>
      <c r="AO71" s="51">
        <f t="shared" si="18"/>
        <v>4</v>
      </c>
      <c r="AP71" s="51">
        <f t="shared" si="19"/>
        <v>11</v>
      </c>
    </row>
    <row r="72" spans="2:42" ht="18.75" x14ac:dyDescent="0.25">
      <c r="B72" s="37" t="s">
        <v>223</v>
      </c>
      <c r="C72" s="137" t="s">
        <v>177</v>
      </c>
      <c r="D72" s="138"/>
      <c r="F72" s="251" t="s">
        <v>228</v>
      </c>
      <c r="G72" s="258" t="s">
        <v>203</v>
      </c>
      <c r="H72" s="252" t="s">
        <v>203</v>
      </c>
      <c r="I72" s="252" t="s">
        <v>204</v>
      </c>
      <c r="J72" s="251" t="s">
        <v>227</v>
      </c>
      <c r="K72" s="251" t="s">
        <v>227</v>
      </c>
      <c r="L72" s="251" t="s">
        <v>228</v>
      </c>
      <c r="M72" s="251" t="s">
        <v>228</v>
      </c>
      <c r="N72" s="251" t="s">
        <v>228</v>
      </c>
      <c r="O72" s="258" t="s">
        <v>203</v>
      </c>
      <c r="P72" s="252" t="s">
        <v>204</v>
      </c>
      <c r="Q72" s="252" t="s">
        <v>204</v>
      </c>
      <c r="R72" s="251" t="s">
        <v>227</v>
      </c>
      <c r="S72" s="251" t="s">
        <v>227</v>
      </c>
      <c r="T72" s="251" t="s">
        <v>228</v>
      </c>
      <c r="U72" s="251" t="s">
        <v>228</v>
      </c>
      <c r="V72" s="251" t="s">
        <v>228</v>
      </c>
      <c r="W72" s="258" t="s">
        <v>203</v>
      </c>
      <c r="X72" s="258" t="s">
        <v>203</v>
      </c>
      <c r="Y72" s="252" t="s">
        <v>204</v>
      </c>
      <c r="Z72" s="252" t="s">
        <v>204</v>
      </c>
      <c r="AA72" s="252" t="s">
        <v>227</v>
      </c>
      <c r="AB72" s="254" t="s">
        <v>228</v>
      </c>
      <c r="AC72" s="251" t="s">
        <v>228</v>
      </c>
      <c r="AD72" s="251" t="s">
        <v>228</v>
      </c>
      <c r="AE72" s="258" t="s">
        <v>203</v>
      </c>
      <c r="AF72" s="252" t="s">
        <v>203</v>
      </c>
      <c r="AG72" s="252" t="s">
        <v>204</v>
      </c>
      <c r="AH72" s="251" t="s">
        <v>227</v>
      </c>
      <c r="AI72" s="251" t="s">
        <v>227</v>
      </c>
      <c r="AJ72" s="23"/>
      <c r="AL72" s="51">
        <f t="shared" si="15"/>
        <v>0</v>
      </c>
      <c r="AM72" s="51">
        <f t="shared" si="16"/>
        <v>7</v>
      </c>
      <c r="AN72" s="51">
        <f t="shared" si="17"/>
        <v>6</v>
      </c>
      <c r="AO72" s="51">
        <f t="shared" si="18"/>
        <v>7</v>
      </c>
      <c r="AP72" s="51">
        <f t="shared" si="19"/>
        <v>10</v>
      </c>
    </row>
    <row r="73" spans="2:42" ht="18.75" x14ac:dyDescent="0.25">
      <c r="B73" s="37" t="s">
        <v>223</v>
      </c>
      <c r="C73" s="137" t="s">
        <v>178</v>
      </c>
      <c r="D73" s="138"/>
      <c r="F73" s="258" t="s">
        <v>203</v>
      </c>
      <c r="G73" s="252" t="s">
        <v>204</v>
      </c>
      <c r="H73" s="252" t="s">
        <v>204</v>
      </c>
      <c r="I73" s="251" t="s">
        <v>227</v>
      </c>
      <c r="J73" s="251" t="s">
        <v>227</v>
      </c>
      <c r="K73" s="251" t="s">
        <v>228</v>
      </c>
      <c r="L73" s="251" t="s">
        <v>228</v>
      </c>
      <c r="M73" s="251" t="s">
        <v>228</v>
      </c>
      <c r="N73" s="252" t="s">
        <v>203</v>
      </c>
      <c r="O73" s="252" t="s">
        <v>203</v>
      </c>
      <c r="P73" s="252" t="s">
        <v>204</v>
      </c>
      <c r="Q73" s="252" t="s">
        <v>204</v>
      </c>
      <c r="R73" s="252" t="s">
        <v>227</v>
      </c>
      <c r="S73" s="251" t="s">
        <v>228</v>
      </c>
      <c r="T73" s="251" t="s">
        <v>228</v>
      </c>
      <c r="U73" s="251" t="s">
        <v>228</v>
      </c>
      <c r="V73" s="258" t="s">
        <v>203</v>
      </c>
      <c r="W73" s="252" t="s">
        <v>203</v>
      </c>
      <c r="X73" s="252" t="s">
        <v>204</v>
      </c>
      <c r="Y73" s="252" t="s">
        <v>227</v>
      </c>
      <c r="Z73" s="251" t="s">
        <v>227</v>
      </c>
      <c r="AA73" s="251" t="s">
        <v>228</v>
      </c>
      <c r="AB73" s="251" t="s">
        <v>228</v>
      </c>
      <c r="AC73" s="251" t="s">
        <v>228</v>
      </c>
      <c r="AD73" s="258" t="s">
        <v>203</v>
      </c>
      <c r="AE73" s="252" t="s">
        <v>204</v>
      </c>
      <c r="AF73" s="252" t="s">
        <v>204</v>
      </c>
      <c r="AG73" s="251" t="s">
        <v>227</v>
      </c>
      <c r="AH73" s="251" t="s">
        <v>227</v>
      </c>
      <c r="AI73" s="251" t="s">
        <v>228</v>
      </c>
      <c r="AJ73" s="23"/>
      <c r="AL73" s="51">
        <f t="shared" si="15"/>
        <v>0</v>
      </c>
      <c r="AM73" s="51">
        <f t="shared" si="16"/>
        <v>6</v>
      </c>
      <c r="AN73" s="51">
        <f t="shared" si="17"/>
        <v>7</v>
      </c>
      <c r="AO73" s="51">
        <f t="shared" si="18"/>
        <v>7</v>
      </c>
      <c r="AP73" s="51">
        <f t="shared" si="19"/>
        <v>10</v>
      </c>
    </row>
    <row r="74" spans="2:42" ht="18.75" x14ac:dyDescent="0.25">
      <c r="B74" s="37" t="s">
        <v>223</v>
      </c>
      <c r="C74" s="137" t="s">
        <v>179</v>
      </c>
      <c r="D74" s="138"/>
      <c r="F74" s="258" t="s">
        <v>203</v>
      </c>
      <c r="G74" s="252" t="s">
        <v>204</v>
      </c>
      <c r="H74" s="251" t="s">
        <v>227</v>
      </c>
      <c r="I74" s="251" t="s">
        <v>227</v>
      </c>
      <c r="J74" s="251" t="s">
        <v>228</v>
      </c>
      <c r="K74" s="251" t="s">
        <v>228</v>
      </c>
      <c r="L74" s="251" t="s">
        <v>228</v>
      </c>
      <c r="M74" s="258" t="s">
        <v>203</v>
      </c>
      <c r="N74" s="258" t="s">
        <v>203</v>
      </c>
      <c r="O74" s="252" t="s">
        <v>204</v>
      </c>
      <c r="P74" s="252" t="s">
        <v>204</v>
      </c>
      <c r="Q74" s="252" t="s">
        <v>227</v>
      </c>
      <c r="R74" s="251" t="s">
        <v>228</v>
      </c>
      <c r="S74" s="251" t="s">
        <v>228</v>
      </c>
      <c r="T74" s="251" t="s">
        <v>228</v>
      </c>
      <c r="U74" s="258" t="s">
        <v>203</v>
      </c>
      <c r="V74" s="258" t="s">
        <v>203</v>
      </c>
      <c r="W74" s="252" t="s">
        <v>204</v>
      </c>
      <c r="X74" s="251" t="s">
        <v>126</v>
      </c>
      <c r="Y74" s="252" t="s">
        <v>227</v>
      </c>
      <c r="Z74" s="251" t="s">
        <v>228</v>
      </c>
      <c r="AA74" s="251" t="s">
        <v>228</v>
      </c>
      <c r="AB74" s="251" t="s">
        <v>228</v>
      </c>
      <c r="AC74" s="258" t="s">
        <v>203</v>
      </c>
      <c r="AD74" s="258" t="s">
        <v>203</v>
      </c>
      <c r="AE74" s="252" t="s">
        <v>204</v>
      </c>
      <c r="AF74" s="251" t="s">
        <v>227</v>
      </c>
      <c r="AG74" s="251" t="s">
        <v>227</v>
      </c>
      <c r="AH74" s="251" t="s">
        <v>228</v>
      </c>
      <c r="AI74" s="251" t="s">
        <v>228</v>
      </c>
      <c r="AJ74" s="27"/>
      <c r="AL74" s="51">
        <f t="shared" si="15"/>
        <v>0</v>
      </c>
      <c r="AM74" s="51">
        <f t="shared" si="16"/>
        <v>7</v>
      </c>
      <c r="AN74" s="51">
        <f t="shared" si="17"/>
        <v>5</v>
      </c>
      <c r="AO74" s="51">
        <f t="shared" si="18"/>
        <v>6</v>
      </c>
      <c r="AP74" s="51">
        <f t="shared" si="19"/>
        <v>11</v>
      </c>
    </row>
    <row r="75" spans="2:42" ht="18.75" x14ac:dyDescent="0.25">
      <c r="B75" s="37" t="s">
        <v>223</v>
      </c>
      <c r="C75" s="137" t="s">
        <v>180</v>
      </c>
      <c r="D75" s="138"/>
      <c r="F75" s="252" t="s">
        <v>204</v>
      </c>
      <c r="G75" s="252" t="s">
        <v>204</v>
      </c>
      <c r="H75" s="251" t="s">
        <v>227</v>
      </c>
      <c r="I75" s="251" t="s">
        <v>228</v>
      </c>
      <c r="J75" s="251" t="s">
        <v>228</v>
      </c>
      <c r="K75" s="251" t="s">
        <v>228</v>
      </c>
      <c r="L75" s="258" t="s">
        <v>203</v>
      </c>
      <c r="M75" s="252" t="s">
        <v>203</v>
      </c>
      <c r="N75" s="252" t="s">
        <v>204</v>
      </c>
      <c r="O75" s="251" t="s">
        <v>227</v>
      </c>
      <c r="P75" s="251" t="s">
        <v>227</v>
      </c>
      <c r="Q75" s="251" t="s">
        <v>228</v>
      </c>
      <c r="R75" s="251" t="s">
        <v>228</v>
      </c>
      <c r="S75" s="251" t="s">
        <v>228</v>
      </c>
      <c r="T75" s="258" t="s">
        <v>203</v>
      </c>
      <c r="U75" s="258" t="s">
        <v>203</v>
      </c>
      <c r="V75" s="252" t="s">
        <v>204</v>
      </c>
      <c r="W75" s="252" t="s">
        <v>204</v>
      </c>
      <c r="X75" s="251" t="s">
        <v>227</v>
      </c>
      <c r="Y75" s="251" t="s">
        <v>228</v>
      </c>
      <c r="Z75" s="251" t="s">
        <v>228</v>
      </c>
      <c r="AA75" s="251" t="s">
        <v>228</v>
      </c>
      <c r="AB75" s="258" t="s">
        <v>203</v>
      </c>
      <c r="AC75" s="258" t="s">
        <v>203</v>
      </c>
      <c r="AD75" s="252" t="s">
        <v>204</v>
      </c>
      <c r="AE75" s="252" t="s">
        <v>204</v>
      </c>
      <c r="AF75" s="251" t="s">
        <v>227</v>
      </c>
      <c r="AG75" s="251" t="s">
        <v>228</v>
      </c>
      <c r="AH75" s="251" t="s">
        <v>228</v>
      </c>
      <c r="AI75" s="251" t="s">
        <v>228</v>
      </c>
      <c r="AJ75" s="27"/>
      <c r="AL75" s="51">
        <f t="shared" si="15"/>
        <v>0</v>
      </c>
      <c r="AM75" s="51">
        <f t="shared" si="16"/>
        <v>6</v>
      </c>
      <c r="AN75" s="51">
        <f t="shared" si="17"/>
        <v>7</v>
      </c>
      <c r="AO75" s="51">
        <f t="shared" si="18"/>
        <v>5</v>
      </c>
      <c r="AP75" s="51">
        <f t="shared" si="19"/>
        <v>12</v>
      </c>
    </row>
    <row r="76" spans="2:42" ht="18.75" x14ac:dyDescent="0.25">
      <c r="B76" s="37" t="s">
        <v>223</v>
      </c>
      <c r="C76" s="137" t="s">
        <v>181</v>
      </c>
      <c r="D76" s="138"/>
      <c r="F76" s="252" t="s">
        <v>204</v>
      </c>
      <c r="G76" s="251" t="s">
        <v>227</v>
      </c>
      <c r="H76" s="251" t="s">
        <v>228</v>
      </c>
      <c r="I76" s="251" t="s">
        <v>228</v>
      </c>
      <c r="J76" s="251" t="s">
        <v>228</v>
      </c>
      <c r="K76" s="258" t="s">
        <v>203</v>
      </c>
      <c r="L76" s="252" t="s">
        <v>204</v>
      </c>
      <c r="M76" s="252" t="s">
        <v>204</v>
      </c>
      <c r="N76" s="251" t="s">
        <v>227</v>
      </c>
      <c r="O76" s="251" t="s">
        <v>227</v>
      </c>
      <c r="P76" s="251" t="s">
        <v>228</v>
      </c>
      <c r="Q76" s="251" t="s">
        <v>228</v>
      </c>
      <c r="R76" s="251" t="s">
        <v>228</v>
      </c>
      <c r="S76" s="258" t="s">
        <v>203</v>
      </c>
      <c r="T76" s="252" t="s">
        <v>204</v>
      </c>
      <c r="U76" s="252" t="s">
        <v>204</v>
      </c>
      <c r="V76" s="251" t="s">
        <v>227</v>
      </c>
      <c r="W76" s="251" t="s">
        <v>227</v>
      </c>
      <c r="X76" s="251" t="s">
        <v>228</v>
      </c>
      <c r="Y76" s="251" t="s">
        <v>228</v>
      </c>
      <c r="Z76" s="251" t="s">
        <v>228</v>
      </c>
      <c r="AA76" s="258" t="s">
        <v>203</v>
      </c>
      <c r="AB76" s="252" t="s">
        <v>204</v>
      </c>
      <c r="AC76" s="252" t="s">
        <v>204</v>
      </c>
      <c r="AD76" s="252" t="s">
        <v>204</v>
      </c>
      <c r="AE76" s="251" t="s">
        <v>227</v>
      </c>
      <c r="AF76" s="251" t="s">
        <v>228</v>
      </c>
      <c r="AG76" s="251" t="s">
        <v>228</v>
      </c>
      <c r="AH76" s="251" t="s">
        <v>228</v>
      </c>
      <c r="AI76" s="258" t="s">
        <v>203</v>
      </c>
      <c r="AJ76" s="52"/>
      <c r="AL76" s="51">
        <f t="shared" si="15"/>
        <v>0</v>
      </c>
      <c r="AM76" s="51">
        <f t="shared" si="16"/>
        <v>4</v>
      </c>
      <c r="AN76" s="51">
        <f t="shared" si="17"/>
        <v>8</v>
      </c>
      <c r="AO76" s="51">
        <f t="shared" si="18"/>
        <v>6</v>
      </c>
      <c r="AP76" s="51">
        <f t="shared" si="19"/>
        <v>12</v>
      </c>
    </row>
    <row r="77" spans="2:42" ht="18.75" x14ac:dyDescent="0.25">
      <c r="B77" s="37" t="s">
        <v>223</v>
      </c>
      <c r="C77" s="137" t="s">
        <v>182</v>
      </c>
      <c r="D77" s="138"/>
      <c r="F77" s="251" t="s">
        <v>227</v>
      </c>
      <c r="G77" s="251" t="s">
        <v>228</v>
      </c>
      <c r="H77" s="251" t="s">
        <v>228</v>
      </c>
      <c r="I77" s="251" t="s">
        <v>228</v>
      </c>
      <c r="J77" s="258" t="s">
        <v>203</v>
      </c>
      <c r="K77" s="252" t="s">
        <v>204</v>
      </c>
      <c r="L77" s="252" t="s">
        <v>204</v>
      </c>
      <c r="M77" s="252" t="s">
        <v>227</v>
      </c>
      <c r="N77" s="252" t="s">
        <v>227</v>
      </c>
      <c r="O77" s="251" t="s">
        <v>228</v>
      </c>
      <c r="P77" s="251" t="s">
        <v>228</v>
      </c>
      <c r="Q77" s="251" t="s">
        <v>228</v>
      </c>
      <c r="R77" s="258" t="s">
        <v>203</v>
      </c>
      <c r="S77" s="252" t="s">
        <v>204</v>
      </c>
      <c r="T77" s="252" t="s">
        <v>204</v>
      </c>
      <c r="U77" s="251" t="s">
        <v>227</v>
      </c>
      <c r="V77" s="251" t="s">
        <v>227</v>
      </c>
      <c r="W77" s="251" t="s">
        <v>228</v>
      </c>
      <c r="X77" s="251" t="s">
        <v>228</v>
      </c>
      <c r="Y77" s="251" t="s">
        <v>228</v>
      </c>
      <c r="Z77" s="258" t="s">
        <v>203</v>
      </c>
      <c r="AA77" s="258" t="s">
        <v>203</v>
      </c>
      <c r="AB77" s="252" t="s">
        <v>204</v>
      </c>
      <c r="AC77" s="252" t="s">
        <v>204</v>
      </c>
      <c r="AD77" s="251" t="s">
        <v>227</v>
      </c>
      <c r="AE77" s="251" t="s">
        <v>228</v>
      </c>
      <c r="AF77" s="251" t="s">
        <v>228</v>
      </c>
      <c r="AG77" s="251" t="s">
        <v>228</v>
      </c>
      <c r="AH77" s="258" t="s">
        <v>203</v>
      </c>
      <c r="AI77" s="252" t="s">
        <v>204</v>
      </c>
      <c r="AJ77" s="52"/>
      <c r="AL77" s="51">
        <f t="shared" si="15"/>
        <v>0</v>
      </c>
      <c r="AM77" s="51">
        <f t="shared" si="16"/>
        <v>5</v>
      </c>
      <c r="AN77" s="51">
        <f t="shared" si="17"/>
        <v>7</v>
      </c>
      <c r="AO77" s="51">
        <f t="shared" si="18"/>
        <v>6</v>
      </c>
      <c r="AP77" s="51">
        <f t="shared" si="19"/>
        <v>12</v>
      </c>
    </row>
    <row r="78" spans="2:42" ht="18.75" x14ac:dyDescent="0.25">
      <c r="B78" s="37" t="s">
        <v>223</v>
      </c>
      <c r="C78" s="137" t="s">
        <v>183</v>
      </c>
      <c r="D78" s="138"/>
      <c r="F78" s="251" t="s">
        <v>228</v>
      </c>
      <c r="G78" s="251" t="s">
        <v>228</v>
      </c>
      <c r="H78" s="251" t="s">
        <v>228</v>
      </c>
      <c r="I78" s="258" t="s">
        <v>203</v>
      </c>
      <c r="J78" s="258" t="s">
        <v>203</v>
      </c>
      <c r="K78" s="252" t="s">
        <v>204</v>
      </c>
      <c r="L78" s="251" t="s">
        <v>227</v>
      </c>
      <c r="M78" s="251" t="s">
        <v>227</v>
      </c>
      <c r="N78" s="251" t="s">
        <v>228</v>
      </c>
      <c r="O78" s="251" t="s">
        <v>228</v>
      </c>
      <c r="P78" s="251" t="s">
        <v>228</v>
      </c>
      <c r="Q78" s="258" t="s">
        <v>203</v>
      </c>
      <c r="R78" s="258" t="s">
        <v>203</v>
      </c>
      <c r="S78" s="252" t="s">
        <v>204</v>
      </c>
      <c r="T78" s="251" t="s">
        <v>227</v>
      </c>
      <c r="U78" s="251" t="s">
        <v>227</v>
      </c>
      <c r="V78" s="251" t="s">
        <v>228</v>
      </c>
      <c r="W78" s="251" t="s">
        <v>228</v>
      </c>
      <c r="X78" s="251" t="s">
        <v>228</v>
      </c>
      <c r="Y78" s="258" t="s">
        <v>203</v>
      </c>
      <c r="Z78" s="258" t="s">
        <v>203</v>
      </c>
      <c r="AA78" s="252" t="s">
        <v>204</v>
      </c>
      <c r="AB78" s="252" t="s">
        <v>204</v>
      </c>
      <c r="AC78" s="251" t="s">
        <v>227</v>
      </c>
      <c r="AD78" s="251" t="s">
        <v>228</v>
      </c>
      <c r="AE78" s="251" t="s">
        <v>228</v>
      </c>
      <c r="AF78" s="251" t="s">
        <v>228</v>
      </c>
      <c r="AG78" s="258" t="s">
        <v>203</v>
      </c>
      <c r="AH78" s="258" t="s">
        <v>203</v>
      </c>
      <c r="AI78" s="252" t="s">
        <v>204</v>
      </c>
      <c r="AJ78" s="23"/>
      <c r="AL78" s="51">
        <f t="shared" si="15"/>
        <v>0</v>
      </c>
      <c r="AM78" s="51">
        <f t="shared" si="16"/>
        <v>8</v>
      </c>
      <c r="AN78" s="51">
        <f t="shared" si="17"/>
        <v>5</v>
      </c>
      <c r="AO78" s="51">
        <f t="shared" si="18"/>
        <v>5</v>
      </c>
      <c r="AP78" s="51">
        <f t="shared" si="19"/>
        <v>12</v>
      </c>
    </row>
    <row r="79" spans="2:42" ht="18.75" x14ac:dyDescent="0.25">
      <c r="B79" s="37" t="s">
        <v>223</v>
      </c>
      <c r="C79" s="137" t="s">
        <v>184</v>
      </c>
      <c r="D79" s="138"/>
      <c r="F79" s="251" t="s">
        <v>228</v>
      </c>
      <c r="G79" s="251" t="s">
        <v>228</v>
      </c>
      <c r="H79" s="258" t="s">
        <v>229</v>
      </c>
      <c r="I79" s="258" t="s">
        <v>229</v>
      </c>
      <c r="J79" s="252" t="s">
        <v>229</v>
      </c>
      <c r="K79" s="252" t="s">
        <v>229</v>
      </c>
      <c r="L79" s="252" t="s">
        <v>229</v>
      </c>
      <c r="M79" s="251" t="s">
        <v>229</v>
      </c>
      <c r="N79" s="251" t="s">
        <v>229</v>
      </c>
      <c r="O79" s="251" t="s">
        <v>228</v>
      </c>
      <c r="P79" s="258" t="s">
        <v>203</v>
      </c>
      <c r="Q79" s="258" t="s">
        <v>203</v>
      </c>
      <c r="R79" s="252" t="s">
        <v>204</v>
      </c>
      <c r="S79" s="251" t="s">
        <v>227</v>
      </c>
      <c r="T79" s="251" t="s">
        <v>227</v>
      </c>
      <c r="U79" s="251" t="s">
        <v>228</v>
      </c>
      <c r="V79" s="251" t="s">
        <v>228</v>
      </c>
      <c r="W79" s="251" t="s">
        <v>228</v>
      </c>
      <c r="X79" s="258" t="s">
        <v>203</v>
      </c>
      <c r="Y79" s="258" t="s">
        <v>203</v>
      </c>
      <c r="Z79" s="252" t="s">
        <v>204</v>
      </c>
      <c r="AA79" s="252" t="s">
        <v>204</v>
      </c>
      <c r="AB79" s="251" t="s">
        <v>227</v>
      </c>
      <c r="AC79" s="251" t="s">
        <v>228</v>
      </c>
      <c r="AD79" s="251" t="s">
        <v>228</v>
      </c>
      <c r="AE79" s="251" t="s">
        <v>228</v>
      </c>
      <c r="AF79" s="258" t="s">
        <v>203</v>
      </c>
      <c r="AG79" s="258" t="s">
        <v>203</v>
      </c>
      <c r="AH79" s="252" t="s">
        <v>204</v>
      </c>
      <c r="AI79" s="252" t="s">
        <v>204</v>
      </c>
      <c r="AJ79" s="23"/>
      <c r="AL79" s="51">
        <f t="shared" si="15"/>
        <v>0</v>
      </c>
      <c r="AM79" s="51">
        <f t="shared" si="16"/>
        <v>6</v>
      </c>
      <c r="AN79" s="51">
        <f t="shared" si="17"/>
        <v>5</v>
      </c>
      <c r="AO79" s="51">
        <f t="shared" si="18"/>
        <v>3</v>
      </c>
      <c r="AP79" s="51">
        <f t="shared" si="19"/>
        <v>9</v>
      </c>
    </row>
    <row r="80" spans="2:42" ht="18.75" x14ac:dyDescent="0.25">
      <c r="B80" s="37" t="s">
        <v>223</v>
      </c>
      <c r="C80" s="137" t="s">
        <v>185</v>
      </c>
      <c r="D80" s="138"/>
      <c r="F80" s="251" t="s">
        <v>228</v>
      </c>
      <c r="G80" s="258" t="s">
        <v>203</v>
      </c>
      <c r="H80" s="258" t="s">
        <v>203</v>
      </c>
      <c r="I80" s="252" t="s">
        <v>204</v>
      </c>
      <c r="J80" s="252" t="s">
        <v>204</v>
      </c>
      <c r="K80" s="252" t="s">
        <v>227</v>
      </c>
      <c r="L80" s="251" t="s">
        <v>228</v>
      </c>
      <c r="M80" s="251" t="s">
        <v>228</v>
      </c>
      <c r="N80" s="251" t="s">
        <v>228</v>
      </c>
      <c r="O80" s="258" t="s">
        <v>203</v>
      </c>
      <c r="P80" s="258" t="s">
        <v>203</v>
      </c>
      <c r="Q80" s="252" t="s">
        <v>126</v>
      </c>
      <c r="R80" s="251" t="s">
        <v>227</v>
      </c>
      <c r="S80" s="251" t="s">
        <v>227</v>
      </c>
      <c r="T80" s="251" t="s">
        <v>228</v>
      </c>
      <c r="U80" s="251" t="s">
        <v>228</v>
      </c>
      <c r="V80" s="251" t="s">
        <v>228</v>
      </c>
      <c r="W80" s="258" t="s">
        <v>203</v>
      </c>
      <c r="X80" s="252" t="s">
        <v>126</v>
      </c>
      <c r="Y80" s="252" t="s">
        <v>204</v>
      </c>
      <c r="Z80" s="252" t="s">
        <v>204</v>
      </c>
      <c r="AA80" s="251" t="s">
        <v>227</v>
      </c>
      <c r="AB80" s="251" t="s">
        <v>228</v>
      </c>
      <c r="AC80" s="251" t="s">
        <v>228</v>
      </c>
      <c r="AD80" s="251" t="s">
        <v>228</v>
      </c>
      <c r="AE80" s="258" t="s">
        <v>203</v>
      </c>
      <c r="AF80" s="258" t="s">
        <v>203</v>
      </c>
      <c r="AG80" s="252" t="s">
        <v>204</v>
      </c>
      <c r="AH80" s="252" t="s">
        <v>204</v>
      </c>
      <c r="AI80" s="252" t="s">
        <v>227</v>
      </c>
      <c r="AJ80" s="23"/>
      <c r="AL80" s="51">
        <f t="shared" si="15"/>
        <v>0</v>
      </c>
      <c r="AM80" s="51">
        <f t="shared" si="16"/>
        <v>7</v>
      </c>
      <c r="AN80" s="51">
        <f t="shared" si="17"/>
        <v>6</v>
      </c>
      <c r="AO80" s="51">
        <f t="shared" si="18"/>
        <v>5</v>
      </c>
      <c r="AP80" s="51">
        <f t="shared" si="19"/>
        <v>10</v>
      </c>
    </row>
    <row r="81" spans="2:42" ht="18.75" x14ac:dyDescent="0.25">
      <c r="B81" s="37" t="s">
        <v>223</v>
      </c>
      <c r="C81" s="63" t="s">
        <v>168</v>
      </c>
      <c r="D81" s="64"/>
      <c r="F81" s="258" t="s">
        <v>204</v>
      </c>
      <c r="G81" s="252" t="s">
        <v>204</v>
      </c>
      <c r="H81" s="252" t="s">
        <v>228</v>
      </c>
      <c r="I81" s="258" t="s">
        <v>228</v>
      </c>
      <c r="J81" s="251" t="s">
        <v>203</v>
      </c>
      <c r="K81" s="251" t="s">
        <v>203</v>
      </c>
      <c r="L81" s="258" t="s">
        <v>204</v>
      </c>
      <c r="M81" s="258" t="s">
        <v>204</v>
      </c>
      <c r="N81" s="252" t="s">
        <v>204</v>
      </c>
      <c r="O81" s="252" t="s">
        <v>228</v>
      </c>
      <c r="P81" s="258" t="s">
        <v>228</v>
      </c>
      <c r="Q81" s="251" t="s">
        <v>203</v>
      </c>
      <c r="R81" s="251" t="s">
        <v>203</v>
      </c>
      <c r="S81" s="252" t="s">
        <v>204</v>
      </c>
      <c r="T81" s="251" t="s">
        <v>204</v>
      </c>
      <c r="U81" s="251" t="s">
        <v>204</v>
      </c>
      <c r="V81" s="258" t="s">
        <v>228</v>
      </c>
      <c r="W81" s="258" t="s">
        <v>228</v>
      </c>
      <c r="X81" s="252" t="s">
        <v>203</v>
      </c>
      <c r="Y81" s="252" t="s">
        <v>203</v>
      </c>
      <c r="Z81" s="252" t="s">
        <v>204</v>
      </c>
      <c r="AA81" s="251" t="s">
        <v>204</v>
      </c>
      <c r="AB81" s="251" t="s">
        <v>204</v>
      </c>
      <c r="AC81" s="258" t="s">
        <v>228</v>
      </c>
      <c r="AD81" s="258" t="s">
        <v>228</v>
      </c>
      <c r="AE81" s="252" t="s">
        <v>203</v>
      </c>
      <c r="AF81" s="252" t="s">
        <v>203</v>
      </c>
      <c r="AG81" s="258" t="s">
        <v>204</v>
      </c>
      <c r="AH81" s="251" t="s">
        <v>204</v>
      </c>
      <c r="AI81" s="251" t="s">
        <v>204</v>
      </c>
      <c r="AJ81" s="27"/>
      <c r="AL81" s="51">
        <f t="shared" si="15"/>
        <v>0</v>
      </c>
      <c r="AM81" s="51">
        <f>COUNTIF($F64:$AJ64,"M*")</f>
        <v>5</v>
      </c>
      <c r="AN81" s="51">
        <f>COUNTIF($F64:$AJ64,"A*")</f>
        <v>8</v>
      </c>
      <c r="AO81" s="51">
        <f>COUNTIF($F64:$AJ64,"N*")</f>
        <v>7</v>
      </c>
      <c r="AP81" s="51">
        <f>COUNTIF($F64:$AJ64,"O*")</f>
        <v>10</v>
      </c>
    </row>
    <row r="82" spans="2:42" ht="18.75" x14ac:dyDescent="0.25">
      <c r="B82" s="37" t="s">
        <v>223</v>
      </c>
      <c r="C82" s="137" t="s">
        <v>169</v>
      </c>
      <c r="D82" s="138"/>
      <c r="F82" s="255" t="s">
        <v>229</v>
      </c>
      <c r="G82" s="259" t="s">
        <v>229</v>
      </c>
      <c r="H82" s="259" t="s">
        <v>228</v>
      </c>
      <c r="I82" s="255" t="s">
        <v>228</v>
      </c>
      <c r="J82" s="260" t="s">
        <v>204</v>
      </c>
      <c r="K82" s="260" t="s">
        <v>204</v>
      </c>
      <c r="L82" s="255" t="s">
        <v>203</v>
      </c>
      <c r="M82" s="255" t="s">
        <v>203</v>
      </c>
      <c r="N82" s="259" t="s">
        <v>203</v>
      </c>
      <c r="O82" s="259" t="s">
        <v>228</v>
      </c>
      <c r="P82" s="255" t="s">
        <v>228</v>
      </c>
      <c r="Q82" s="260" t="s">
        <v>204</v>
      </c>
      <c r="R82" s="260" t="s">
        <v>204</v>
      </c>
      <c r="S82" s="259" t="s">
        <v>203</v>
      </c>
      <c r="T82" s="260" t="s">
        <v>203</v>
      </c>
      <c r="U82" s="260" t="s">
        <v>203</v>
      </c>
      <c r="V82" s="255" t="s">
        <v>228</v>
      </c>
      <c r="W82" s="255" t="s">
        <v>228</v>
      </c>
      <c r="X82" s="259" t="s">
        <v>204</v>
      </c>
      <c r="Y82" s="259" t="s">
        <v>204</v>
      </c>
      <c r="Z82" s="259" t="s">
        <v>203</v>
      </c>
      <c r="AA82" s="260" t="s">
        <v>203</v>
      </c>
      <c r="AB82" s="260" t="s">
        <v>203</v>
      </c>
      <c r="AC82" s="255" t="s">
        <v>228</v>
      </c>
      <c r="AD82" s="255" t="s">
        <v>228</v>
      </c>
      <c r="AE82" s="259" t="s">
        <v>204</v>
      </c>
      <c r="AF82" s="259" t="s">
        <v>204</v>
      </c>
      <c r="AG82" s="255" t="s">
        <v>203</v>
      </c>
      <c r="AH82" s="260" t="s">
        <v>203</v>
      </c>
      <c r="AI82" s="260" t="s">
        <v>203</v>
      </c>
      <c r="AJ82" s="61"/>
      <c r="AL82" s="51">
        <f t="shared" si="15"/>
        <v>0</v>
      </c>
      <c r="AM82" s="51">
        <f t="shared" ref="AM82:AM99" si="20">COUNTIF($F65:$AJ65,"M*")</f>
        <v>6</v>
      </c>
      <c r="AN82" s="51">
        <f t="shared" ref="AN82:AN99" si="21">COUNTIF($F65:$AJ65,"A*")</f>
        <v>8</v>
      </c>
      <c r="AO82" s="51">
        <f t="shared" ref="AO82:AO99" si="22">COUNTIF($F65:$AJ65,"N*")</f>
        <v>5</v>
      </c>
      <c r="AP82" s="51">
        <f t="shared" ref="AP82:AP99" si="23">COUNTIF($F65:$AJ65,"O*")</f>
        <v>10</v>
      </c>
    </row>
    <row r="83" spans="2:42" x14ac:dyDescent="0.25">
      <c r="F83" s="20" t="s">
        <v>94</v>
      </c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L83" s="51">
        <f t="shared" ref="AL83:AL99" si="24">COUNTIF($F66:$AJ66,"ST*")</f>
        <v>0</v>
      </c>
      <c r="AM83" s="51">
        <f t="shared" si="20"/>
        <v>4</v>
      </c>
      <c r="AN83" s="51">
        <f t="shared" si="21"/>
        <v>7</v>
      </c>
      <c r="AO83" s="51">
        <f t="shared" si="22"/>
        <v>5</v>
      </c>
      <c r="AP83" s="51">
        <f t="shared" si="23"/>
        <v>11</v>
      </c>
    </row>
    <row r="84" spans="2:42" ht="18.75" x14ac:dyDescent="0.3">
      <c r="C84" s="171" t="s">
        <v>91</v>
      </c>
      <c r="D84" s="171"/>
      <c r="E84" s="36"/>
      <c r="F84" s="37">
        <f t="shared" ref="F84:AJ84" si="25">COUNTIF(F9:F82,"M*")</f>
        <v>16</v>
      </c>
      <c r="G84" s="37">
        <f t="shared" si="25"/>
        <v>16</v>
      </c>
      <c r="H84" s="37">
        <f t="shared" si="25"/>
        <v>13</v>
      </c>
      <c r="I84" s="37">
        <f t="shared" si="25"/>
        <v>13</v>
      </c>
      <c r="J84" s="37">
        <f t="shared" si="25"/>
        <v>15</v>
      </c>
      <c r="K84" s="37">
        <f t="shared" si="25"/>
        <v>15</v>
      </c>
      <c r="L84" s="37">
        <f t="shared" si="25"/>
        <v>15</v>
      </c>
      <c r="M84" s="37">
        <f t="shared" si="25"/>
        <v>15</v>
      </c>
      <c r="N84" s="37">
        <f t="shared" si="25"/>
        <v>17</v>
      </c>
      <c r="O84" s="37">
        <f t="shared" si="25"/>
        <v>15</v>
      </c>
      <c r="P84" s="37">
        <f t="shared" si="25"/>
        <v>12</v>
      </c>
      <c r="Q84" s="37">
        <f t="shared" si="25"/>
        <v>14</v>
      </c>
      <c r="R84" s="37">
        <f t="shared" si="25"/>
        <v>15</v>
      </c>
      <c r="S84" s="37">
        <f t="shared" si="25"/>
        <v>15</v>
      </c>
      <c r="T84" s="37">
        <f t="shared" si="25"/>
        <v>16</v>
      </c>
      <c r="U84" s="37">
        <f t="shared" si="25"/>
        <v>18</v>
      </c>
      <c r="V84" s="37">
        <f t="shared" si="25"/>
        <v>15</v>
      </c>
      <c r="W84" s="37">
        <f t="shared" si="25"/>
        <v>14</v>
      </c>
      <c r="X84" s="37">
        <f t="shared" si="25"/>
        <v>14</v>
      </c>
      <c r="Y84" s="37">
        <f t="shared" si="25"/>
        <v>15</v>
      </c>
      <c r="Z84" s="37">
        <f t="shared" si="25"/>
        <v>16</v>
      </c>
      <c r="AA84" s="37">
        <f t="shared" si="25"/>
        <v>16</v>
      </c>
      <c r="AB84" s="37">
        <f t="shared" si="25"/>
        <v>16</v>
      </c>
      <c r="AC84" s="37">
        <f t="shared" si="25"/>
        <v>18</v>
      </c>
      <c r="AD84" s="37">
        <f t="shared" si="25"/>
        <v>16</v>
      </c>
      <c r="AE84" s="37">
        <f t="shared" si="25"/>
        <v>16</v>
      </c>
      <c r="AF84" s="37">
        <f t="shared" si="25"/>
        <v>17</v>
      </c>
      <c r="AG84" s="37">
        <f t="shared" si="25"/>
        <v>17</v>
      </c>
      <c r="AH84" s="37">
        <f t="shared" si="25"/>
        <v>16</v>
      </c>
      <c r="AI84" s="37">
        <f t="shared" si="25"/>
        <v>16</v>
      </c>
      <c r="AJ84" s="37">
        <f t="shared" si="25"/>
        <v>0</v>
      </c>
      <c r="AL84" s="51">
        <f t="shared" si="24"/>
        <v>0</v>
      </c>
      <c r="AM84" s="51">
        <f t="shared" si="20"/>
        <v>5</v>
      </c>
      <c r="AN84" s="51">
        <f t="shared" si="21"/>
        <v>5</v>
      </c>
      <c r="AO84" s="51">
        <f t="shared" si="22"/>
        <v>8</v>
      </c>
      <c r="AP84" s="51">
        <f t="shared" si="23"/>
        <v>12</v>
      </c>
    </row>
    <row r="85" spans="2:42" ht="18.75" x14ac:dyDescent="0.3">
      <c r="C85" s="171" t="s">
        <v>92</v>
      </c>
      <c r="D85" s="171"/>
      <c r="E85" s="36"/>
      <c r="F85" s="37">
        <f t="shared" ref="F85:AJ85" si="26">COUNTIF(F9:F82,"A*")</f>
        <v>13</v>
      </c>
      <c r="G85" s="37">
        <f t="shared" si="26"/>
        <v>15</v>
      </c>
      <c r="H85" s="37">
        <f t="shared" si="26"/>
        <v>13</v>
      </c>
      <c r="I85" s="37">
        <f t="shared" si="26"/>
        <v>13</v>
      </c>
      <c r="J85" s="37">
        <f t="shared" si="26"/>
        <v>14</v>
      </c>
      <c r="K85" s="37">
        <f t="shared" si="26"/>
        <v>14</v>
      </c>
      <c r="L85" s="37">
        <f t="shared" si="26"/>
        <v>14</v>
      </c>
      <c r="M85" s="37">
        <f t="shared" si="26"/>
        <v>13</v>
      </c>
      <c r="N85" s="37">
        <f t="shared" si="26"/>
        <v>15</v>
      </c>
      <c r="O85" s="37">
        <f t="shared" si="26"/>
        <v>13</v>
      </c>
      <c r="P85" s="37">
        <f t="shared" si="26"/>
        <v>14</v>
      </c>
      <c r="Q85" s="37">
        <f t="shared" si="26"/>
        <v>14</v>
      </c>
      <c r="R85" s="37">
        <f t="shared" si="26"/>
        <v>14</v>
      </c>
      <c r="S85" s="37">
        <f t="shared" si="26"/>
        <v>15</v>
      </c>
      <c r="T85" s="37">
        <f t="shared" si="26"/>
        <v>14</v>
      </c>
      <c r="U85" s="37">
        <f t="shared" si="26"/>
        <v>14</v>
      </c>
      <c r="V85" s="37">
        <f t="shared" si="26"/>
        <v>14</v>
      </c>
      <c r="W85" s="37">
        <f t="shared" si="26"/>
        <v>15</v>
      </c>
      <c r="X85" s="37">
        <f t="shared" si="26"/>
        <v>14</v>
      </c>
      <c r="Y85" s="37">
        <f t="shared" si="26"/>
        <v>14</v>
      </c>
      <c r="Z85" s="37">
        <f t="shared" si="26"/>
        <v>15</v>
      </c>
      <c r="AA85" s="37">
        <f t="shared" si="26"/>
        <v>14</v>
      </c>
      <c r="AB85" s="37">
        <f t="shared" si="26"/>
        <v>14</v>
      </c>
      <c r="AC85" s="37">
        <f t="shared" si="26"/>
        <v>13</v>
      </c>
      <c r="AD85" s="37">
        <f t="shared" si="26"/>
        <v>14</v>
      </c>
      <c r="AE85" s="37">
        <f t="shared" si="26"/>
        <v>15</v>
      </c>
      <c r="AF85" s="37">
        <f t="shared" si="26"/>
        <v>15</v>
      </c>
      <c r="AG85" s="37">
        <f t="shared" si="26"/>
        <v>16</v>
      </c>
      <c r="AH85" s="37">
        <f t="shared" si="26"/>
        <v>16</v>
      </c>
      <c r="AI85" s="37">
        <f t="shared" si="26"/>
        <v>15</v>
      </c>
      <c r="AJ85" s="37">
        <f t="shared" si="26"/>
        <v>0</v>
      </c>
      <c r="AL85" s="51">
        <f t="shared" si="24"/>
        <v>0</v>
      </c>
      <c r="AM85" s="51">
        <f t="shared" si="20"/>
        <v>7</v>
      </c>
      <c r="AN85" s="51">
        <f t="shared" si="21"/>
        <v>4</v>
      </c>
      <c r="AO85" s="51">
        <f t="shared" si="22"/>
        <v>7</v>
      </c>
      <c r="AP85" s="51">
        <f t="shared" si="23"/>
        <v>12</v>
      </c>
    </row>
    <row r="86" spans="2:42" ht="18.75" x14ac:dyDescent="0.3">
      <c r="C86" s="171" t="s">
        <v>72</v>
      </c>
      <c r="D86" s="171"/>
      <c r="E86" s="36"/>
      <c r="F86" s="37">
        <f t="shared" ref="F86:AJ86" si="27">COUNTIF(F9:F82,"N*")</f>
        <v>12</v>
      </c>
      <c r="G86" s="37">
        <f t="shared" si="27"/>
        <v>12</v>
      </c>
      <c r="H86" s="37">
        <f t="shared" si="27"/>
        <v>12</v>
      </c>
      <c r="I86" s="37">
        <f t="shared" si="27"/>
        <v>12</v>
      </c>
      <c r="J86" s="37">
        <f t="shared" si="27"/>
        <v>13</v>
      </c>
      <c r="K86" s="37">
        <f t="shared" si="27"/>
        <v>13</v>
      </c>
      <c r="L86" s="37">
        <f t="shared" si="27"/>
        <v>13</v>
      </c>
      <c r="M86" s="37">
        <f t="shared" si="27"/>
        <v>14</v>
      </c>
      <c r="N86" s="37">
        <f t="shared" si="27"/>
        <v>13</v>
      </c>
      <c r="O86" s="37">
        <f t="shared" si="27"/>
        <v>14</v>
      </c>
      <c r="P86" s="37">
        <f t="shared" si="27"/>
        <v>12</v>
      </c>
      <c r="Q86" s="37">
        <f t="shared" si="27"/>
        <v>12</v>
      </c>
      <c r="R86" s="37">
        <f t="shared" si="27"/>
        <v>13</v>
      </c>
      <c r="S86" s="37">
        <f t="shared" si="27"/>
        <v>13</v>
      </c>
      <c r="T86" s="37">
        <f t="shared" si="27"/>
        <v>13</v>
      </c>
      <c r="U86" s="37">
        <f t="shared" si="27"/>
        <v>14</v>
      </c>
      <c r="V86" s="37">
        <f t="shared" si="27"/>
        <v>15</v>
      </c>
      <c r="W86" s="37">
        <f t="shared" si="27"/>
        <v>13</v>
      </c>
      <c r="X86" s="37">
        <f t="shared" si="27"/>
        <v>12</v>
      </c>
      <c r="Y86" s="37">
        <f t="shared" si="27"/>
        <v>13</v>
      </c>
      <c r="Z86" s="37">
        <f t="shared" si="27"/>
        <v>13</v>
      </c>
      <c r="AA86" s="37">
        <f t="shared" si="27"/>
        <v>13</v>
      </c>
      <c r="AB86" s="37">
        <f t="shared" si="27"/>
        <v>14</v>
      </c>
      <c r="AC86" s="37">
        <f t="shared" si="27"/>
        <v>14</v>
      </c>
      <c r="AD86" s="37">
        <f t="shared" si="27"/>
        <v>14</v>
      </c>
      <c r="AE86" s="37">
        <f t="shared" si="27"/>
        <v>13</v>
      </c>
      <c r="AF86" s="37">
        <f t="shared" si="27"/>
        <v>14</v>
      </c>
      <c r="AG86" s="37">
        <f t="shared" si="27"/>
        <v>14</v>
      </c>
      <c r="AH86" s="37">
        <f t="shared" si="27"/>
        <v>15</v>
      </c>
      <c r="AI86" s="37">
        <f t="shared" si="27"/>
        <v>15</v>
      </c>
      <c r="AJ86" s="37">
        <f t="shared" si="27"/>
        <v>0</v>
      </c>
      <c r="AL86" s="51">
        <f t="shared" si="24"/>
        <v>0</v>
      </c>
      <c r="AM86" s="51">
        <f t="shared" si="20"/>
        <v>5</v>
      </c>
      <c r="AN86" s="51">
        <f t="shared" si="21"/>
        <v>4</v>
      </c>
      <c r="AO86" s="51">
        <f t="shared" si="22"/>
        <v>7</v>
      </c>
      <c r="AP86" s="51">
        <f t="shared" si="23"/>
        <v>12</v>
      </c>
    </row>
    <row r="87" spans="2:42" ht="18.75" x14ac:dyDescent="0.3">
      <c r="C87" s="171" t="s">
        <v>73</v>
      </c>
      <c r="D87" s="171"/>
      <c r="E87" s="36"/>
      <c r="F87" s="37">
        <f t="shared" ref="F87:AJ87" si="28">COUNTIF(F$30:F$82,"O*")</f>
        <v>15</v>
      </c>
      <c r="G87" s="37">
        <f t="shared" si="28"/>
        <v>18</v>
      </c>
      <c r="H87" s="37">
        <f t="shared" si="28"/>
        <v>21</v>
      </c>
      <c r="I87" s="37">
        <f t="shared" si="28"/>
        <v>20</v>
      </c>
      <c r="J87" s="37">
        <f t="shared" si="28"/>
        <v>18</v>
      </c>
      <c r="K87" s="37">
        <f t="shared" si="28"/>
        <v>18</v>
      </c>
      <c r="L87" s="37">
        <f t="shared" si="28"/>
        <v>18</v>
      </c>
      <c r="M87" s="37">
        <f t="shared" si="28"/>
        <v>17</v>
      </c>
      <c r="N87" s="37">
        <f t="shared" si="28"/>
        <v>16</v>
      </c>
      <c r="O87" s="37">
        <f t="shared" si="28"/>
        <v>20</v>
      </c>
      <c r="P87" s="37">
        <f t="shared" si="28"/>
        <v>22</v>
      </c>
      <c r="Q87" s="37">
        <f t="shared" si="28"/>
        <v>20</v>
      </c>
      <c r="R87" s="37">
        <f t="shared" si="28"/>
        <v>17</v>
      </c>
      <c r="S87" s="37">
        <f t="shared" si="28"/>
        <v>18</v>
      </c>
      <c r="T87" s="37">
        <f t="shared" si="28"/>
        <v>18</v>
      </c>
      <c r="U87" s="37">
        <f t="shared" si="28"/>
        <v>18</v>
      </c>
      <c r="V87" s="37">
        <f t="shared" si="28"/>
        <v>19</v>
      </c>
      <c r="W87" s="37">
        <f t="shared" si="28"/>
        <v>20</v>
      </c>
      <c r="X87" s="37">
        <f t="shared" si="28"/>
        <v>19</v>
      </c>
      <c r="Y87" s="37">
        <f t="shared" si="28"/>
        <v>19</v>
      </c>
      <c r="Z87" s="37">
        <f t="shared" si="28"/>
        <v>17</v>
      </c>
      <c r="AA87" s="37">
        <f t="shared" si="28"/>
        <v>19</v>
      </c>
      <c r="AB87" s="37">
        <f t="shared" si="28"/>
        <v>20</v>
      </c>
      <c r="AC87" s="37">
        <f t="shared" si="28"/>
        <v>20</v>
      </c>
      <c r="AD87" s="37">
        <f t="shared" si="28"/>
        <v>21</v>
      </c>
      <c r="AE87" s="37">
        <f t="shared" si="28"/>
        <v>18</v>
      </c>
      <c r="AF87" s="37">
        <f t="shared" si="28"/>
        <v>18</v>
      </c>
      <c r="AG87" s="37">
        <f t="shared" si="28"/>
        <v>18</v>
      </c>
      <c r="AH87" s="37">
        <f t="shared" si="28"/>
        <v>18</v>
      </c>
      <c r="AI87" s="37">
        <f t="shared" si="28"/>
        <v>19</v>
      </c>
      <c r="AJ87" s="37">
        <f t="shared" si="28"/>
        <v>0</v>
      </c>
      <c r="AL87" s="51">
        <f t="shared" si="24"/>
        <v>0</v>
      </c>
      <c r="AM87" s="51">
        <f t="shared" si="20"/>
        <v>6</v>
      </c>
      <c r="AN87" s="51">
        <f t="shared" si="21"/>
        <v>4</v>
      </c>
      <c r="AO87" s="51">
        <f t="shared" si="22"/>
        <v>8</v>
      </c>
      <c r="AP87" s="51">
        <f t="shared" si="23"/>
        <v>11</v>
      </c>
    </row>
    <row r="88" spans="2:42" ht="18.75" x14ac:dyDescent="0.3">
      <c r="C88" s="167" t="s">
        <v>125</v>
      </c>
      <c r="D88" s="168"/>
      <c r="E88" s="36"/>
      <c r="F88" s="37">
        <f t="shared" ref="F88:AJ88" si="29">COUNTIF(F9:F82,"TR*")</f>
        <v>2</v>
      </c>
      <c r="G88" s="37">
        <f t="shared" si="29"/>
        <v>0</v>
      </c>
      <c r="H88" s="37">
        <f t="shared" si="29"/>
        <v>0</v>
      </c>
      <c r="I88" s="37">
        <f t="shared" si="29"/>
        <v>0</v>
      </c>
      <c r="J88" s="37">
        <f t="shared" si="29"/>
        <v>0</v>
      </c>
      <c r="K88" s="37">
        <f t="shared" si="29"/>
        <v>1</v>
      </c>
      <c r="L88" s="37">
        <f t="shared" si="29"/>
        <v>2</v>
      </c>
      <c r="M88" s="37">
        <f t="shared" si="29"/>
        <v>3</v>
      </c>
      <c r="N88" s="37">
        <f t="shared" si="29"/>
        <v>1</v>
      </c>
      <c r="O88" s="37">
        <f t="shared" si="29"/>
        <v>0</v>
      </c>
      <c r="P88" s="37">
        <f t="shared" si="29"/>
        <v>0</v>
      </c>
      <c r="Q88" s="37">
        <f t="shared" si="29"/>
        <v>2</v>
      </c>
      <c r="R88" s="37">
        <f t="shared" si="29"/>
        <v>3</v>
      </c>
      <c r="S88" s="37">
        <f t="shared" si="29"/>
        <v>0</v>
      </c>
      <c r="T88" s="37">
        <f t="shared" si="29"/>
        <v>1</v>
      </c>
      <c r="U88" s="37">
        <f t="shared" si="29"/>
        <v>1</v>
      </c>
      <c r="V88" s="37">
        <f t="shared" si="29"/>
        <v>0</v>
      </c>
      <c r="W88" s="37">
        <f t="shared" si="29"/>
        <v>0</v>
      </c>
      <c r="X88" s="37">
        <f t="shared" si="29"/>
        <v>3</v>
      </c>
      <c r="Y88" s="37">
        <f t="shared" si="29"/>
        <v>2</v>
      </c>
      <c r="Z88" s="37">
        <f t="shared" si="29"/>
        <v>1</v>
      </c>
      <c r="AA88" s="37">
        <f t="shared" si="29"/>
        <v>1</v>
      </c>
      <c r="AB88" s="37">
        <f t="shared" si="29"/>
        <v>0</v>
      </c>
      <c r="AC88" s="37">
        <f t="shared" si="29"/>
        <v>0</v>
      </c>
      <c r="AD88" s="37">
        <f t="shared" si="29"/>
        <v>0</v>
      </c>
      <c r="AE88" s="37">
        <f t="shared" si="29"/>
        <v>4</v>
      </c>
      <c r="AF88" s="37">
        <f t="shared" si="29"/>
        <v>1</v>
      </c>
      <c r="AG88" s="37">
        <f t="shared" si="29"/>
        <v>0</v>
      </c>
      <c r="AH88" s="37">
        <f t="shared" si="29"/>
        <v>0</v>
      </c>
      <c r="AI88" s="37">
        <f t="shared" si="29"/>
        <v>0</v>
      </c>
      <c r="AJ88" s="37">
        <f t="shared" si="29"/>
        <v>0</v>
      </c>
      <c r="AL88" s="51">
        <f t="shared" si="24"/>
        <v>0</v>
      </c>
      <c r="AM88" s="51">
        <f t="shared" si="20"/>
        <v>6</v>
      </c>
      <c r="AN88" s="51">
        <f t="shared" si="21"/>
        <v>8</v>
      </c>
      <c r="AO88" s="51">
        <f t="shared" si="22"/>
        <v>4</v>
      </c>
      <c r="AP88" s="51">
        <f t="shared" si="23"/>
        <v>11</v>
      </c>
    </row>
    <row r="89" spans="2:42" ht="18.75" x14ac:dyDescent="0.3">
      <c r="C89" s="167" t="s">
        <v>106</v>
      </c>
      <c r="D89" s="168"/>
      <c r="E89" s="36"/>
      <c r="F89" s="37">
        <f>COUNTIF(F9:F82,"ST*")</f>
        <v>0</v>
      </c>
      <c r="G89" s="37">
        <f t="shared" ref="G89:AJ89" si="30">COUNTIF(G$30:G$62,"ST*")</f>
        <v>0</v>
      </c>
      <c r="H89" s="37">
        <f t="shared" si="30"/>
        <v>0</v>
      </c>
      <c r="I89" s="37">
        <f t="shared" si="30"/>
        <v>0</v>
      </c>
      <c r="J89" s="37">
        <f t="shared" si="30"/>
        <v>0</v>
      </c>
      <c r="K89" s="37">
        <f t="shared" si="30"/>
        <v>0</v>
      </c>
      <c r="L89" s="37">
        <f t="shared" si="30"/>
        <v>0</v>
      </c>
      <c r="M89" s="37">
        <f t="shared" si="30"/>
        <v>0</v>
      </c>
      <c r="N89" s="37">
        <f t="shared" si="30"/>
        <v>0</v>
      </c>
      <c r="O89" s="37">
        <f t="shared" si="30"/>
        <v>0</v>
      </c>
      <c r="P89" s="37">
        <f t="shared" si="30"/>
        <v>0</v>
      </c>
      <c r="Q89" s="37">
        <f t="shared" si="30"/>
        <v>0</v>
      </c>
      <c r="R89" s="37">
        <f t="shared" si="30"/>
        <v>0</v>
      </c>
      <c r="S89" s="37">
        <f t="shared" si="30"/>
        <v>0</v>
      </c>
      <c r="T89" s="37">
        <f t="shared" si="30"/>
        <v>0</v>
      </c>
      <c r="U89" s="37">
        <f t="shared" si="30"/>
        <v>0</v>
      </c>
      <c r="V89" s="37">
        <f t="shared" si="30"/>
        <v>0</v>
      </c>
      <c r="W89" s="37">
        <f t="shared" si="30"/>
        <v>0</v>
      </c>
      <c r="X89" s="37">
        <f t="shared" si="30"/>
        <v>0</v>
      </c>
      <c r="Y89" s="37">
        <f t="shared" si="30"/>
        <v>0</v>
      </c>
      <c r="Z89" s="37">
        <f t="shared" si="30"/>
        <v>0</v>
      </c>
      <c r="AA89" s="37">
        <f t="shared" si="30"/>
        <v>0</v>
      </c>
      <c r="AB89" s="37">
        <f t="shared" si="30"/>
        <v>0</v>
      </c>
      <c r="AC89" s="37">
        <f t="shared" si="30"/>
        <v>0</v>
      </c>
      <c r="AD89" s="37">
        <f t="shared" si="30"/>
        <v>0</v>
      </c>
      <c r="AE89" s="37">
        <f t="shared" si="30"/>
        <v>0</v>
      </c>
      <c r="AF89" s="37">
        <f t="shared" si="30"/>
        <v>0</v>
      </c>
      <c r="AG89" s="37">
        <f t="shared" si="30"/>
        <v>0</v>
      </c>
      <c r="AH89" s="37">
        <f t="shared" si="30"/>
        <v>0</v>
      </c>
      <c r="AI89" s="37">
        <f t="shared" si="30"/>
        <v>0</v>
      </c>
      <c r="AJ89" s="37">
        <f t="shared" si="30"/>
        <v>0</v>
      </c>
      <c r="AL89" s="51">
        <f t="shared" si="24"/>
        <v>0</v>
      </c>
      <c r="AM89" s="51">
        <f t="shared" si="20"/>
        <v>7</v>
      </c>
      <c r="AN89" s="51">
        <f t="shared" si="21"/>
        <v>6</v>
      </c>
      <c r="AO89" s="51">
        <f t="shared" si="22"/>
        <v>7</v>
      </c>
      <c r="AP89" s="51">
        <f t="shared" si="23"/>
        <v>10</v>
      </c>
    </row>
    <row r="90" spans="2:42" ht="18.75" x14ac:dyDescent="0.3">
      <c r="C90" s="169" t="s">
        <v>104</v>
      </c>
      <c r="D90" s="169"/>
      <c r="E90" s="38"/>
      <c r="F90" s="54">
        <f>F92-F93</f>
        <v>-4</v>
      </c>
      <c r="G90" s="54">
        <f t="shared" ref="G90:AJ90" si="31">G92-G93</f>
        <v>-2</v>
      </c>
      <c r="H90" s="54">
        <f t="shared" si="31"/>
        <v>-7</v>
      </c>
      <c r="I90" s="54">
        <f t="shared" si="31"/>
        <v>-7</v>
      </c>
      <c r="J90" s="54">
        <f t="shared" si="31"/>
        <v>-3</v>
      </c>
      <c r="K90" s="54">
        <f t="shared" si="31"/>
        <v>-3</v>
      </c>
      <c r="L90" s="54">
        <f t="shared" si="31"/>
        <v>-3</v>
      </c>
      <c r="M90" s="54">
        <f t="shared" si="31"/>
        <v>-3</v>
      </c>
      <c r="N90" s="54">
        <f t="shared" si="31"/>
        <v>0</v>
      </c>
      <c r="O90" s="54">
        <f t="shared" si="31"/>
        <v>-3</v>
      </c>
      <c r="P90" s="54">
        <f t="shared" si="31"/>
        <v>-7</v>
      </c>
      <c r="Q90" s="54">
        <f t="shared" si="31"/>
        <v>-5</v>
      </c>
      <c r="R90" s="54">
        <f t="shared" si="31"/>
        <v>-3</v>
      </c>
      <c r="S90" s="54">
        <f t="shared" si="31"/>
        <v>-2</v>
      </c>
      <c r="T90" s="54">
        <f t="shared" si="31"/>
        <v>-2</v>
      </c>
      <c r="U90" s="54">
        <f t="shared" si="31"/>
        <v>1</v>
      </c>
      <c r="V90" s="54">
        <f t="shared" si="31"/>
        <v>-1</v>
      </c>
      <c r="W90" s="54">
        <f t="shared" si="31"/>
        <v>-3</v>
      </c>
      <c r="X90" s="54">
        <f t="shared" si="31"/>
        <v>-5</v>
      </c>
      <c r="Y90" s="54">
        <f t="shared" si="31"/>
        <v>-3</v>
      </c>
      <c r="Z90" s="54">
        <f t="shared" si="31"/>
        <v>-1</v>
      </c>
      <c r="AA90" s="54">
        <f t="shared" si="31"/>
        <v>-2</v>
      </c>
      <c r="AB90" s="54">
        <f t="shared" si="31"/>
        <v>-1</v>
      </c>
      <c r="AC90" s="54">
        <f t="shared" si="31"/>
        <v>0</v>
      </c>
      <c r="AD90" s="54">
        <f t="shared" si="31"/>
        <v>-1</v>
      </c>
      <c r="AE90" s="54">
        <f t="shared" si="31"/>
        <v>-1</v>
      </c>
      <c r="AF90" s="54">
        <f t="shared" si="31"/>
        <v>1</v>
      </c>
      <c r="AG90" s="54">
        <f t="shared" si="31"/>
        <v>2</v>
      </c>
      <c r="AH90" s="54">
        <f t="shared" si="31"/>
        <v>2</v>
      </c>
      <c r="AI90" s="54">
        <f t="shared" si="31"/>
        <v>1</v>
      </c>
      <c r="AJ90" s="54">
        <f t="shared" si="31"/>
        <v>-27</v>
      </c>
      <c r="AL90" s="51">
        <f t="shared" si="24"/>
        <v>0</v>
      </c>
      <c r="AM90" s="51">
        <f t="shared" si="20"/>
        <v>6</v>
      </c>
      <c r="AN90" s="51">
        <f t="shared" si="21"/>
        <v>7</v>
      </c>
      <c r="AO90" s="51">
        <f t="shared" si="22"/>
        <v>7</v>
      </c>
      <c r="AP90" s="51">
        <f t="shared" si="23"/>
        <v>10</v>
      </c>
    </row>
    <row r="91" spans="2:42" ht="18.75" x14ac:dyDescent="0.3">
      <c r="C91" s="40"/>
      <c r="D91" s="40"/>
      <c r="E91" s="36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L91" s="51">
        <f t="shared" si="24"/>
        <v>0</v>
      </c>
      <c r="AM91" s="51">
        <f t="shared" si="20"/>
        <v>7</v>
      </c>
      <c r="AN91" s="51">
        <f t="shared" si="21"/>
        <v>5</v>
      </c>
      <c r="AO91" s="51">
        <f t="shared" si="22"/>
        <v>6</v>
      </c>
      <c r="AP91" s="51">
        <f t="shared" si="23"/>
        <v>11</v>
      </c>
    </row>
    <row r="92" spans="2:42" ht="18.75" x14ac:dyDescent="0.3">
      <c r="C92" s="171" t="s">
        <v>102</v>
      </c>
      <c r="D92" s="171"/>
      <c r="E92" s="36"/>
      <c r="F92" s="41">
        <f>SUM(F84:F86)</f>
        <v>41</v>
      </c>
      <c r="G92" s="41">
        <f t="shared" ref="G92:AI92" si="32">SUM(G84:G86)</f>
        <v>43</v>
      </c>
      <c r="H92" s="41">
        <f t="shared" si="32"/>
        <v>38</v>
      </c>
      <c r="I92" s="41">
        <f t="shared" si="32"/>
        <v>38</v>
      </c>
      <c r="J92" s="41">
        <f t="shared" si="32"/>
        <v>42</v>
      </c>
      <c r="K92" s="41">
        <f t="shared" si="32"/>
        <v>42</v>
      </c>
      <c r="L92" s="41">
        <f t="shared" si="32"/>
        <v>42</v>
      </c>
      <c r="M92" s="41">
        <f t="shared" si="32"/>
        <v>42</v>
      </c>
      <c r="N92" s="41">
        <f t="shared" si="32"/>
        <v>45</v>
      </c>
      <c r="O92" s="41">
        <f t="shared" si="32"/>
        <v>42</v>
      </c>
      <c r="P92" s="41">
        <f t="shared" si="32"/>
        <v>38</v>
      </c>
      <c r="Q92" s="41">
        <f t="shared" si="32"/>
        <v>40</v>
      </c>
      <c r="R92" s="41">
        <f t="shared" si="32"/>
        <v>42</v>
      </c>
      <c r="S92" s="41">
        <f t="shared" si="32"/>
        <v>43</v>
      </c>
      <c r="T92" s="41">
        <f t="shared" si="32"/>
        <v>43</v>
      </c>
      <c r="U92" s="41">
        <f t="shared" si="32"/>
        <v>46</v>
      </c>
      <c r="V92" s="41">
        <f t="shared" si="32"/>
        <v>44</v>
      </c>
      <c r="W92" s="41">
        <f t="shared" si="32"/>
        <v>42</v>
      </c>
      <c r="X92" s="41">
        <f t="shared" si="32"/>
        <v>40</v>
      </c>
      <c r="Y92" s="41">
        <f t="shared" si="32"/>
        <v>42</v>
      </c>
      <c r="Z92" s="41">
        <f t="shared" si="32"/>
        <v>44</v>
      </c>
      <c r="AA92" s="41">
        <f t="shared" si="32"/>
        <v>43</v>
      </c>
      <c r="AB92" s="41">
        <f t="shared" si="32"/>
        <v>44</v>
      </c>
      <c r="AC92" s="41">
        <f t="shared" si="32"/>
        <v>45</v>
      </c>
      <c r="AD92" s="41">
        <f t="shared" si="32"/>
        <v>44</v>
      </c>
      <c r="AE92" s="41">
        <f t="shared" si="32"/>
        <v>44</v>
      </c>
      <c r="AF92" s="41">
        <f t="shared" si="32"/>
        <v>46</v>
      </c>
      <c r="AG92" s="41">
        <f t="shared" si="32"/>
        <v>47</v>
      </c>
      <c r="AH92" s="41">
        <f t="shared" si="32"/>
        <v>47</v>
      </c>
      <c r="AI92" s="41">
        <f t="shared" si="32"/>
        <v>46</v>
      </c>
      <c r="AJ92" s="41">
        <v>18</v>
      </c>
      <c r="AL92" s="51">
        <f t="shared" si="24"/>
        <v>0</v>
      </c>
      <c r="AM92" s="51">
        <f t="shared" si="20"/>
        <v>6</v>
      </c>
      <c r="AN92" s="51">
        <f t="shared" si="21"/>
        <v>7</v>
      </c>
      <c r="AO92" s="51">
        <f t="shared" si="22"/>
        <v>5</v>
      </c>
      <c r="AP92" s="51">
        <f t="shared" si="23"/>
        <v>12</v>
      </c>
    </row>
    <row r="93" spans="2:42" ht="18.75" x14ac:dyDescent="0.3">
      <c r="C93" s="171" t="s">
        <v>90</v>
      </c>
      <c r="D93" s="171"/>
      <c r="E93" s="36"/>
      <c r="F93" s="37">
        <v>45</v>
      </c>
      <c r="G93" s="37">
        <v>45</v>
      </c>
      <c r="H93" s="37">
        <v>45</v>
      </c>
      <c r="I93" s="37">
        <v>45</v>
      </c>
      <c r="J93" s="37">
        <v>45</v>
      </c>
      <c r="K93" s="37">
        <v>45</v>
      </c>
      <c r="L93" s="37">
        <v>45</v>
      </c>
      <c r="M93" s="37">
        <v>45</v>
      </c>
      <c r="N93" s="37">
        <v>45</v>
      </c>
      <c r="O93" s="37">
        <v>45</v>
      </c>
      <c r="P93" s="37">
        <v>45</v>
      </c>
      <c r="Q93" s="37">
        <v>45</v>
      </c>
      <c r="R93" s="37">
        <v>45</v>
      </c>
      <c r="S93" s="37">
        <v>45</v>
      </c>
      <c r="T93" s="37">
        <v>45</v>
      </c>
      <c r="U93" s="37">
        <v>45</v>
      </c>
      <c r="V93" s="37">
        <v>45</v>
      </c>
      <c r="W93" s="37">
        <v>45</v>
      </c>
      <c r="X93" s="37">
        <v>45</v>
      </c>
      <c r="Y93" s="37">
        <v>45</v>
      </c>
      <c r="Z93" s="37">
        <v>45</v>
      </c>
      <c r="AA93" s="37">
        <v>45</v>
      </c>
      <c r="AB93" s="37">
        <v>45</v>
      </c>
      <c r="AC93" s="37">
        <v>45</v>
      </c>
      <c r="AD93" s="37">
        <v>45</v>
      </c>
      <c r="AE93" s="37">
        <v>45</v>
      </c>
      <c r="AF93" s="37">
        <v>45</v>
      </c>
      <c r="AG93" s="37">
        <v>45</v>
      </c>
      <c r="AH93" s="37">
        <v>45</v>
      </c>
      <c r="AI93" s="37">
        <v>45</v>
      </c>
      <c r="AJ93" s="37">
        <v>45</v>
      </c>
      <c r="AL93" s="51">
        <f t="shared" si="24"/>
        <v>0</v>
      </c>
      <c r="AM93" s="51">
        <f t="shared" si="20"/>
        <v>4</v>
      </c>
      <c r="AN93" s="51">
        <f t="shared" si="21"/>
        <v>8</v>
      </c>
      <c r="AO93" s="51">
        <f t="shared" si="22"/>
        <v>6</v>
      </c>
      <c r="AP93" s="51">
        <f t="shared" si="23"/>
        <v>12</v>
      </c>
    </row>
    <row r="94" spans="2:42" ht="18.75" x14ac:dyDescent="0.3">
      <c r="C94" s="171" t="s">
        <v>103</v>
      </c>
      <c r="D94" s="171"/>
      <c r="E94" s="36"/>
      <c r="F94" s="37">
        <f>SUM(F84,F85,F86,F87,F89)</f>
        <v>56</v>
      </c>
      <c r="G94" s="37">
        <f t="shared" ref="G94:AI94" si="33">SUM(G84,G85,G86,G87,G89)</f>
        <v>61</v>
      </c>
      <c r="H94" s="37">
        <f t="shared" si="33"/>
        <v>59</v>
      </c>
      <c r="I94" s="37">
        <f t="shared" si="33"/>
        <v>58</v>
      </c>
      <c r="J94" s="37">
        <f t="shared" si="33"/>
        <v>60</v>
      </c>
      <c r="K94" s="37">
        <f t="shared" si="33"/>
        <v>60</v>
      </c>
      <c r="L94" s="37">
        <f t="shared" si="33"/>
        <v>60</v>
      </c>
      <c r="M94" s="37">
        <f t="shared" si="33"/>
        <v>59</v>
      </c>
      <c r="N94" s="37">
        <f t="shared" si="33"/>
        <v>61</v>
      </c>
      <c r="O94" s="37">
        <f t="shared" si="33"/>
        <v>62</v>
      </c>
      <c r="P94" s="37">
        <f t="shared" si="33"/>
        <v>60</v>
      </c>
      <c r="Q94" s="37">
        <f t="shared" si="33"/>
        <v>60</v>
      </c>
      <c r="R94" s="37">
        <f t="shared" si="33"/>
        <v>59</v>
      </c>
      <c r="S94" s="37">
        <f t="shared" si="33"/>
        <v>61</v>
      </c>
      <c r="T94" s="37">
        <f t="shared" si="33"/>
        <v>61</v>
      </c>
      <c r="U94" s="37">
        <f t="shared" si="33"/>
        <v>64</v>
      </c>
      <c r="V94" s="37">
        <f t="shared" si="33"/>
        <v>63</v>
      </c>
      <c r="W94" s="37">
        <f t="shared" si="33"/>
        <v>62</v>
      </c>
      <c r="X94" s="37">
        <f t="shared" si="33"/>
        <v>59</v>
      </c>
      <c r="Y94" s="37">
        <f t="shared" si="33"/>
        <v>61</v>
      </c>
      <c r="Z94" s="37">
        <f t="shared" si="33"/>
        <v>61</v>
      </c>
      <c r="AA94" s="37">
        <f t="shared" si="33"/>
        <v>62</v>
      </c>
      <c r="AB94" s="37">
        <f t="shared" si="33"/>
        <v>64</v>
      </c>
      <c r="AC94" s="37">
        <f t="shared" si="33"/>
        <v>65</v>
      </c>
      <c r="AD94" s="37">
        <f t="shared" si="33"/>
        <v>65</v>
      </c>
      <c r="AE94" s="37">
        <f t="shared" si="33"/>
        <v>62</v>
      </c>
      <c r="AF94" s="37">
        <f t="shared" si="33"/>
        <v>64</v>
      </c>
      <c r="AG94" s="37">
        <f t="shared" si="33"/>
        <v>65</v>
      </c>
      <c r="AH94" s="37">
        <f t="shared" si="33"/>
        <v>65</v>
      </c>
      <c r="AI94" s="37">
        <f t="shared" si="33"/>
        <v>65</v>
      </c>
      <c r="AJ94" s="37">
        <v>35</v>
      </c>
      <c r="AL94" s="51">
        <f t="shared" si="24"/>
        <v>0</v>
      </c>
      <c r="AM94" s="51">
        <f t="shared" si="20"/>
        <v>5</v>
      </c>
      <c r="AN94" s="51">
        <f t="shared" si="21"/>
        <v>7</v>
      </c>
      <c r="AO94" s="51">
        <f t="shared" si="22"/>
        <v>6</v>
      </c>
      <c r="AP94" s="51">
        <f t="shared" si="23"/>
        <v>12</v>
      </c>
    </row>
    <row r="95" spans="2:42" ht="16.5" thickBot="1" x14ac:dyDescent="0.3">
      <c r="AL95" s="51">
        <f t="shared" si="24"/>
        <v>0</v>
      </c>
      <c r="AM95" s="51">
        <f t="shared" si="20"/>
        <v>8</v>
      </c>
      <c r="AN95" s="51">
        <f t="shared" si="21"/>
        <v>5</v>
      </c>
      <c r="AO95" s="51">
        <f t="shared" si="22"/>
        <v>5</v>
      </c>
      <c r="AP95" s="51">
        <f t="shared" si="23"/>
        <v>12</v>
      </c>
    </row>
    <row r="96" spans="2:42" ht="16.5" thickBot="1" x14ac:dyDescent="0.3">
      <c r="F96" s="154" t="s">
        <v>206</v>
      </c>
      <c r="G96" s="155"/>
      <c r="H96" s="155"/>
      <c r="I96" s="155"/>
      <c r="J96" s="155"/>
      <c r="K96" s="156"/>
      <c r="AL96" s="51">
        <f t="shared" si="24"/>
        <v>0</v>
      </c>
      <c r="AM96" s="51">
        <f t="shared" si="20"/>
        <v>6</v>
      </c>
      <c r="AN96" s="51">
        <f t="shared" si="21"/>
        <v>5</v>
      </c>
      <c r="AO96" s="51">
        <f t="shared" si="22"/>
        <v>3</v>
      </c>
      <c r="AP96" s="51">
        <f t="shared" si="23"/>
        <v>9</v>
      </c>
    </row>
    <row r="97" spans="6:42" x14ac:dyDescent="0.25">
      <c r="F97" s="83" t="s">
        <v>124</v>
      </c>
      <c r="G97" s="157" t="s">
        <v>202</v>
      </c>
      <c r="H97" s="158"/>
      <c r="I97" s="89" t="s">
        <v>203</v>
      </c>
      <c r="J97" s="135" t="s">
        <v>214</v>
      </c>
      <c r="K97" s="136"/>
      <c r="AL97" s="51">
        <f t="shared" si="24"/>
        <v>0</v>
      </c>
      <c r="AM97" s="51">
        <f t="shared" si="20"/>
        <v>7</v>
      </c>
      <c r="AN97" s="51">
        <f t="shared" si="21"/>
        <v>6</v>
      </c>
      <c r="AO97" s="51">
        <f t="shared" si="22"/>
        <v>5</v>
      </c>
      <c r="AP97" s="51">
        <f t="shared" si="23"/>
        <v>10</v>
      </c>
    </row>
    <row r="98" spans="6:42" x14ac:dyDescent="0.25">
      <c r="F98" s="84" t="s">
        <v>118</v>
      </c>
      <c r="G98" s="159" t="s">
        <v>203</v>
      </c>
      <c r="H98" s="160"/>
      <c r="I98" s="89" t="s">
        <v>213</v>
      </c>
      <c r="J98" s="161" t="s">
        <v>215</v>
      </c>
      <c r="K98" s="162"/>
      <c r="AL98" s="51">
        <f t="shared" si="24"/>
        <v>0</v>
      </c>
      <c r="AM98" s="51">
        <f t="shared" si="20"/>
        <v>8</v>
      </c>
      <c r="AN98" s="51">
        <f t="shared" si="21"/>
        <v>14</v>
      </c>
      <c r="AO98" s="51">
        <f t="shared" si="22"/>
        <v>0</v>
      </c>
      <c r="AP98" s="51">
        <f t="shared" si="23"/>
        <v>8</v>
      </c>
    </row>
    <row r="99" spans="6:42" x14ac:dyDescent="0.25">
      <c r="F99" s="85" t="s">
        <v>200</v>
      </c>
      <c r="G99" s="163" t="s">
        <v>204</v>
      </c>
      <c r="H99" s="164"/>
      <c r="I99" s="90" t="s">
        <v>209</v>
      </c>
      <c r="J99" s="165" t="s">
        <v>216</v>
      </c>
      <c r="K99" s="166"/>
      <c r="AL99" s="51">
        <f t="shared" si="24"/>
        <v>0</v>
      </c>
      <c r="AM99" s="51">
        <f t="shared" si="20"/>
        <v>12</v>
      </c>
      <c r="AN99" s="51">
        <f t="shared" si="21"/>
        <v>8</v>
      </c>
      <c r="AO99" s="51">
        <f t="shared" si="22"/>
        <v>0</v>
      </c>
      <c r="AP99" s="51">
        <f t="shared" si="23"/>
        <v>8</v>
      </c>
    </row>
    <row r="100" spans="6:42" x14ac:dyDescent="0.25">
      <c r="F100" s="86" t="s">
        <v>201</v>
      </c>
      <c r="G100" s="142" t="s">
        <v>205</v>
      </c>
      <c r="H100" s="143"/>
      <c r="I100" s="91" t="s">
        <v>220</v>
      </c>
      <c r="J100" s="144" t="s">
        <v>217</v>
      </c>
      <c r="K100" s="145"/>
    </row>
    <row r="101" spans="6:42" x14ac:dyDescent="0.25">
      <c r="F101" s="87" t="s">
        <v>126</v>
      </c>
      <c r="G101" s="146" t="s">
        <v>208</v>
      </c>
      <c r="H101" s="147"/>
      <c r="I101" s="51" t="s">
        <v>221</v>
      </c>
      <c r="J101" s="148" t="s">
        <v>218</v>
      </c>
      <c r="K101" s="149"/>
    </row>
    <row r="102" spans="6:42" x14ac:dyDescent="0.25">
      <c r="F102" s="88"/>
      <c r="G102" s="150" t="s">
        <v>207</v>
      </c>
      <c r="H102" s="151"/>
      <c r="I102" s="92" t="s">
        <v>222</v>
      </c>
      <c r="J102" s="152" t="s">
        <v>219</v>
      </c>
      <c r="K102" s="153"/>
    </row>
    <row r="103" spans="6:42" ht="16.5" thickBot="1" x14ac:dyDescent="0.3">
      <c r="F103" s="96" t="s">
        <v>225</v>
      </c>
      <c r="G103" s="132" t="s">
        <v>226</v>
      </c>
      <c r="H103" s="133"/>
      <c r="I103" s="97" t="s">
        <v>223</v>
      </c>
      <c r="J103" s="132" t="s">
        <v>224</v>
      </c>
      <c r="K103" s="134"/>
    </row>
    <row r="108" spans="6:42" ht="9.75" customHeight="1" x14ac:dyDescent="0.25"/>
  </sheetData>
  <autoFilter ref="F4:AJ90" xr:uid="{10A87D31-A428-49C7-B3CE-66B468A7BADA}"/>
  <mergeCells count="110"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59:D59"/>
    <mergeCell ref="C60:D60"/>
    <mergeCell ref="C61:D61"/>
    <mergeCell ref="C62:D62"/>
    <mergeCell ref="C53:D53"/>
    <mergeCell ref="C54:D54"/>
    <mergeCell ref="C55:D55"/>
    <mergeCell ref="C56:D56"/>
    <mergeCell ref="C57:D57"/>
    <mergeCell ref="C58:D58"/>
    <mergeCell ref="C63:D63"/>
    <mergeCell ref="G100:H100"/>
    <mergeCell ref="J100:K100"/>
    <mergeCell ref="G101:H101"/>
    <mergeCell ref="J101:K101"/>
    <mergeCell ref="G102:H102"/>
    <mergeCell ref="J102:K102"/>
    <mergeCell ref="F96:K96"/>
    <mergeCell ref="G97:H97"/>
    <mergeCell ref="G98:H98"/>
    <mergeCell ref="J98:K98"/>
    <mergeCell ref="G99:H99"/>
    <mergeCell ref="J99:K99"/>
    <mergeCell ref="C89:D89"/>
    <mergeCell ref="C90:D90"/>
    <mergeCell ref="F91:AJ91"/>
    <mergeCell ref="C92:D92"/>
    <mergeCell ref="C93:D93"/>
    <mergeCell ref="C94:D94"/>
    <mergeCell ref="C84:D84"/>
    <mergeCell ref="C85:D85"/>
    <mergeCell ref="C86:D86"/>
    <mergeCell ref="C87:D87"/>
    <mergeCell ref="C88:D88"/>
    <mergeCell ref="C64:D64"/>
    <mergeCell ref="C65:D65"/>
    <mergeCell ref="C72:D72"/>
    <mergeCell ref="C73:D73"/>
    <mergeCell ref="C74:D74"/>
    <mergeCell ref="C66:D66"/>
    <mergeCell ref="C67:D67"/>
    <mergeCell ref="C68:D68"/>
    <mergeCell ref="C69:D69"/>
    <mergeCell ref="C70:D70"/>
    <mergeCell ref="C71:D71"/>
    <mergeCell ref="G103:H103"/>
    <mergeCell ref="J103:K103"/>
    <mergeCell ref="J97:K97"/>
    <mergeCell ref="C78:D78"/>
    <mergeCell ref="C79:D79"/>
    <mergeCell ref="C80:D80"/>
    <mergeCell ref="C82:D82"/>
    <mergeCell ref="C75:D75"/>
    <mergeCell ref="C76:D76"/>
    <mergeCell ref="C77:D77"/>
  </mergeCells>
  <phoneticPr fontId="14" type="noConversion"/>
  <conditionalFormatting sqref="AJ15:AJ63">
    <cfRule type="containsText" dxfId="194" priority="88" operator="containsText" text="STMN06">
      <formula>NOT(ISERROR(SEARCH("STMN06",AJ15)))</formula>
    </cfRule>
  </conditionalFormatting>
  <conditionalFormatting sqref="AJ30:AJ63">
    <cfRule type="containsText" dxfId="193" priority="85" operator="containsText" text="MN12">
      <formula>NOT(ISERROR(SEARCH("MN12",AJ30)))</formula>
    </cfRule>
  </conditionalFormatting>
  <conditionalFormatting sqref="AJ64:AJ82">
    <cfRule type="containsText" dxfId="192" priority="76" operator="containsText" text="STAN13">
      <formula>NOT(ISERROR(SEARCH("STAN13",AJ64)))</formula>
    </cfRule>
    <cfRule type="containsText" dxfId="191" priority="75" operator="containsText" text="STMN06">
      <formula>NOT(ISERROR(SEARCH("STMN06",AJ64)))</formula>
    </cfRule>
  </conditionalFormatting>
  <conditionalFormatting sqref="AJ5:AJ8">
    <cfRule type="containsText" dxfId="190" priority="225" operator="containsText" text="ME07">
      <formula>NOT(ISERROR(SEARCH("ME07",AJ5)))</formula>
    </cfRule>
    <cfRule type="containsText" dxfId="189" priority="223" operator="containsText" text="AN13">
      <formula>NOT(ISERROR(SEARCH("AN13",AJ5)))</formula>
    </cfRule>
    <cfRule type="containsText" dxfId="188" priority="224" operator="containsText" text="OFF">
      <formula>NOT(ISERROR(SEARCH("OFF",AJ5)))</formula>
    </cfRule>
  </conditionalFormatting>
  <conditionalFormatting sqref="AJ5:AJ14">
    <cfRule type="containsText" dxfId="187" priority="216" operator="containsText" text="TR">
      <formula>NOT(ISERROR(SEARCH("TR",AJ5)))</formula>
    </cfRule>
    <cfRule type="containsText" dxfId="186" priority="220" operator="containsText" text="MN06">
      <formula>NOT(ISERROR(SEARCH("MN06",AJ5)))</formula>
    </cfRule>
  </conditionalFormatting>
  <conditionalFormatting sqref="AJ9:AJ14">
    <cfRule type="containsText" dxfId="185" priority="217" operator="containsText" text="OFF">
      <formula>NOT(ISERROR(SEARCH("OFF",AJ9)))</formula>
    </cfRule>
    <cfRule type="containsText" dxfId="184" priority="218" operator="containsText" text="NN21">
      <formula>NOT(ISERROR(SEARCH("NN21",AJ9)))</formula>
    </cfRule>
    <cfRule type="containsText" dxfId="183" priority="219" operator="containsText" text="AN13">
      <formula>NOT(ISERROR(SEARCH("AN13",AJ9)))</formula>
    </cfRule>
    <cfRule type="containsText" dxfId="182" priority="214" operator="containsText" text="STMN06">
      <formula>NOT(ISERROR(SEARCH("STMN06",AJ9)))</formula>
    </cfRule>
    <cfRule type="containsText" dxfId="181" priority="215" operator="containsText" text="MN12">
      <formula>NOT(ISERROR(SEARCH("MN12",AJ9)))</formula>
    </cfRule>
    <cfRule type="containsText" dxfId="180" priority="213" operator="containsText" text="STAN13">
      <formula>NOT(ISERROR(SEARCH("STAN13",AJ9)))</formula>
    </cfRule>
  </conditionalFormatting>
  <conditionalFormatting sqref="AJ9:AJ29">
    <cfRule type="containsText" dxfId="179" priority="208" operator="containsText" text="STNN21">
      <formula>NOT(ISERROR(SEARCH("STNN21",AJ9)))</formula>
    </cfRule>
    <cfRule type="containsText" dxfId="178" priority="202" operator="containsText" text="LV">
      <formula>NOT(ISERROR(SEARCH("LV",AJ9)))</formula>
    </cfRule>
  </conditionalFormatting>
  <conditionalFormatting sqref="AJ15:AJ29">
    <cfRule type="containsText" dxfId="177" priority="205" operator="containsText" text="AN13">
      <formula>NOT(ISERROR(SEARCH("AN13",AJ15)))</formula>
    </cfRule>
    <cfRule type="containsText" dxfId="176" priority="204" operator="containsText" text="AN13">
      <formula>NOT(ISERROR(SEARCH("AN13",AJ15)))</formula>
    </cfRule>
    <cfRule type="containsText" dxfId="175" priority="210" operator="containsText" text="OFF">
      <formula>NOT(ISERROR(SEARCH("OFF",AJ15)))</formula>
    </cfRule>
    <cfRule type="containsText" dxfId="174" priority="209" operator="containsText" text="NN21">
      <formula>NOT(ISERROR(SEARCH("NN21",AJ15)))</formula>
    </cfRule>
    <cfRule type="containsText" dxfId="173" priority="207" operator="containsText" text="STAN13">
      <formula>NOT(ISERROR(SEARCH("STAN13",AJ15)))</formula>
    </cfRule>
    <cfRule type="containsText" dxfId="172" priority="206" operator="containsText" text="MN06">
      <formula>NOT(ISERROR(SEARCH("MN06",AJ15)))</formula>
    </cfRule>
    <cfRule type="containsText" dxfId="171" priority="203" operator="containsText" text="AN13">
      <formula>NOT(ISERROR(SEARCH("AN13",AJ15)))</formula>
    </cfRule>
  </conditionalFormatting>
  <conditionalFormatting sqref="AJ15:AJ63">
    <cfRule type="containsText" dxfId="170" priority="191" operator="containsText" text="STAN13">
      <formula>NOT(ISERROR(SEARCH("STAN13",AJ15)))</formula>
    </cfRule>
    <cfRule type="containsText" dxfId="169" priority="194" operator="containsText" text="TR">
      <formula>NOT(ISERROR(SEARCH("TR",AJ15)))</formula>
    </cfRule>
  </conditionalFormatting>
  <conditionalFormatting sqref="AJ30:AJ63">
    <cfRule type="containsText" dxfId="168" priority="198" operator="containsText" text="OFF">
      <formula>NOT(ISERROR(SEARCH("OFF",AJ30)))</formula>
    </cfRule>
    <cfRule type="containsText" dxfId="167" priority="193" operator="containsText" text="LV">
      <formula>NOT(ISERROR(SEARCH("LV",AJ30)))</formula>
    </cfRule>
    <cfRule type="containsText" dxfId="166" priority="195" operator="containsText" text="NN21">
      <formula>NOT(ISERROR(SEARCH("NN21",AJ30)))</formula>
    </cfRule>
    <cfRule type="containsText" dxfId="165" priority="196" operator="containsText" text="AN13">
      <formula>NOT(ISERROR(SEARCH("AN13",AJ30)))</formula>
    </cfRule>
    <cfRule type="containsText" dxfId="164" priority="197" operator="containsText" text="MN06">
      <formula>NOT(ISERROR(SEARCH("MN06",AJ30)))</formula>
    </cfRule>
  </conditionalFormatting>
  <conditionalFormatting sqref="AJ30:AJ82">
    <cfRule type="containsText" dxfId="163" priority="181" operator="containsText" text="STNN21">
      <formula>NOT(ISERROR(SEARCH("STNN21",AJ30)))</formula>
    </cfRule>
  </conditionalFormatting>
  <conditionalFormatting sqref="AJ64:AJ82">
    <cfRule type="containsText" dxfId="162" priority="184" operator="containsText" text="NN21">
      <formula>NOT(ISERROR(SEARCH("NN21",AJ64)))</formula>
    </cfRule>
    <cfRule type="containsText" dxfId="161" priority="188" operator="containsText" text="OFF">
      <formula>NOT(ISERROR(SEARCH("OFF",AJ64)))</formula>
    </cfRule>
    <cfRule type="containsText" dxfId="160" priority="187" operator="containsText" text="MN06">
      <formula>NOT(ISERROR(SEARCH("MN06",AJ64)))</formula>
    </cfRule>
    <cfRule type="containsText" dxfId="159" priority="186" operator="containsText" text="AN13">
      <formula>NOT(ISERROR(SEARCH("AN13",AJ64)))</formula>
    </cfRule>
    <cfRule type="containsText" dxfId="158" priority="185" operator="containsText" text="NN13">
      <formula>NOT(ISERROR(SEARCH("NN13",AJ64)))</formula>
    </cfRule>
    <cfRule type="containsText" dxfId="157" priority="183" operator="containsText" text="TR">
      <formula>NOT(ISERROR(SEARCH("TR",AJ64)))</formula>
    </cfRule>
    <cfRule type="containsText" dxfId="156" priority="182" operator="containsText" text="LV">
      <formula>NOT(ISERROR(SEARCH("LV",AJ64)))</formula>
    </cfRule>
  </conditionalFormatting>
  <conditionalFormatting sqref="F30:AI63">
    <cfRule type="containsText" dxfId="63" priority="55" operator="containsText" text="MN12">
      <formula>NOT(ISERROR(SEARCH("MN12",F30)))</formula>
    </cfRule>
    <cfRule type="containsText" dxfId="62" priority="56" operator="containsText" text="STNN21">
      <formula>NOT(ISERROR(SEARCH("STNN21",F30)))</formula>
    </cfRule>
    <cfRule type="containsText" dxfId="61" priority="57" operator="containsText" text="STAN13">
      <formula>NOT(ISERROR(SEARCH("STAN13",F30)))</formula>
    </cfRule>
    <cfRule type="containsText" dxfId="60" priority="58" operator="containsText" text="STMN06">
      <formula>NOT(ISERROR(SEARCH("STMN06",F30)))</formula>
    </cfRule>
    <cfRule type="containsText" dxfId="59" priority="59" operator="containsText" text="LV">
      <formula>NOT(ISERROR(SEARCH("LV",F30)))</formula>
    </cfRule>
    <cfRule type="containsText" dxfId="58" priority="60" operator="containsText" text="TR">
      <formula>NOT(ISERROR(SEARCH("TR",F30)))</formula>
    </cfRule>
    <cfRule type="containsText" dxfId="57" priority="61" operator="containsText" text="NN21">
      <formula>NOT(ISERROR(SEARCH("NN21",F30)))</formula>
    </cfRule>
    <cfRule type="containsText" dxfId="56" priority="62" operator="containsText" text="AN13">
      <formula>NOT(ISERROR(SEARCH("AN13",F30)))</formula>
    </cfRule>
    <cfRule type="containsText" dxfId="55" priority="63" operator="containsText" text="MN06">
      <formula>NOT(ISERROR(SEARCH("MN06",F30)))</formula>
    </cfRule>
    <cfRule type="containsText" dxfId="54" priority="64" operator="containsText" text="OFF">
      <formula>NOT(ISERROR(SEARCH("OFF",F30)))</formula>
    </cfRule>
  </conditionalFormatting>
  <conditionalFormatting sqref="F15:AI29">
    <cfRule type="containsText" dxfId="53" priority="43" operator="containsText" text="STMN06">
      <formula>NOT(ISERROR(SEARCH("STMN06",F15)))</formula>
    </cfRule>
    <cfRule type="containsText" dxfId="52" priority="44" operator="containsText" text="STAN13">
      <formula>NOT(ISERROR(SEARCH("STAN13",F15)))</formula>
    </cfRule>
    <cfRule type="containsText" dxfId="51" priority="45" operator="containsText" text="TR">
      <formula>NOT(ISERROR(SEARCH("TR",F15)))</formula>
    </cfRule>
    <cfRule type="containsText" dxfId="50" priority="46" operator="containsText" text="LV">
      <formula>NOT(ISERROR(SEARCH("LV",F15)))</formula>
    </cfRule>
    <cfRule type="containsText" dxfId="49" priority="47" operator="containsText" text="AN13">
      <formula>NOT(ISERROR(SEARCH("AN13",F15)))</formula>
    </cfRule>
    <cfRule type="containsText" dxfId="48" priority="48" operator="containsText" text="AN13">
      <formula>NOT(ISERROR(SEARCH("AN13",F15)))</formula>
    </cfRule>
    <cfRule type="containsText" dxfId="47" priority="49" operator="containsText" text="AN13">
      <formula>NOT(ISERROR(SEARCH("AN13",F15)))</formula>
    </cfRule>
    <cfRule type="containsText" dxfId="46" priority="50" operator="containsText" text="MN06">
      <formula>NOT(ISERROR(SEARCH("MN06",F15)))</formula>
    </cfRule>
    <cfRule type="containsText" dxfId="45" priority="51" operator="containsText" text="STAN13">
      <formula>NOT(ISERROR(SEARCH("STAN13",F15)))</formula>
    </cfRule>
    <cfRule type="containsText" dxfId="44" priority="52" operator="containsText" text="STNN21">
      <formula>NOT(ISERROR(SEARCH("STNN21",F15)))</formula>
    </cfRule>
    <cfRule type="containsText" dxfId="43" priority="53" operator="containsText" text="NN21">
      <formula>NOT(ISERROR(SEARCH("NN21",F15)))</formula>
    </cfRule>
    <cfRule type="containsText" dxfId="42" priority="54" operator="containsText" text="OFF">
      <formula>NOT(ISERROR(SEARCH("OFF",F15)))</formula>
    </cfRule>
  </conditionalFormatting>
  <conditionalFormatting sqref="F9:AI14">
    <cfRule type="containsText" dxfId="41" priority="33" operator="containsText" text="LV">
      <formula>NOT(ISERROR(SEARCH("LV",F9)))</formula>
    </cfRule>
    <cfRule type="containsText" dxfId="40" priority="34" operator="containsText" text="STNN21">
      <formula>NOT(ISERROR(SEARCH("STNN21",F9)))</formula>
    </cfRule>
    <cfRule type="containsText" dxfId="39" priority="35" operator="containsText" text="STAN13">
      <formula>NOT(ISERROR(SEARCH("STAN13",F9)))</formula>
    </cfRule>
    <cfRule type="containsText" dxfId="38" priority="36" operator="containsText" text="STMN06">
      <formula>NOT(ISERROR(SEARCH("STMN06",F9)))</formula>
    </cfRule>
    <cfRule type="containsText" dxfId="37" priority="37" operator="containsText" text="MN12">
      <formula>NOT(ISERROR(SEARCH("MN12",F9)))</formula>
    </cfRule>
    <cfRule type="containsText" dxfId="36" priority="38" operator="containsText" text="TR">
      <formula>NOT(ISERROR(SEARCH("TR",F9)))</formula>
    </cfRule>
    <cfRule type="containsText" dxfId="35" priority="39" operator="containsText" text="OFF">
      <formula>NOT(ISERROR(SEARCH("OFF",F9)))</formula>
    </cfRule>
    <cfRule type="containsText" dxfId="34" priority="40" operator="containsText" text="NN21">
      <formula>NOT(ISERROR(SEARCH("NN21",F9)))</formula>
    </cfRule>
    <cfRule type="containsText" dxfId="33" priority="41" operator="containsText" text="AN13">
      <formula>NOT(ISERROR(SEARCH("AN13",F9)))</formula>
    </cfRule>
    <cfRule type="containsText" dxfId="32" priority="42" operator="containsText" text="MN06">
      <formula>NOT(ISERROR(SEARCH("MN06",F9)))</formula>
    </cfRule>
  </conditionalFormatting>
  <conditionalFormatting sqref="F5:AI6 F8:AI8 S7:AI7">
    <cfRule type="containsText" dxfId="26" priority="23" operator="containsText" text="TR">
      <formula>NOT(ISERROR(SEARCH("TR",F5)))</formula>
    </cfRule>
    <cfRule type="containsText" dxfId="25" priority="24" operator="containsText" text="MN06">
      <formula>NOT(ISERROR(SEARCH("MN06",F5)))</formula>
    </cfRule>
    <cfRule type="containsText" dxfId="24" priority="25" operator="containsText" text="AN13">
      <formula>NOT(ISERROR(SEARCH("AN13",F5)))</formula>
    </cfRule>
    <cfRule type="containsText" dxfId="23" priority="26" operator="containsText" text="OFF">
      <formula>NOT(ISERROR(SEARCH("OFF",F5)))</formula>
    </cfRule>
    <cfRule type="containsText" dxfId="22" priority="27" operator="containsText" text="ME07">
      <formula>NOT(ISERROR(SEARCH("ME07",F5)))</formula>
    </cfRule>
  </conditionalFormatting>
  <conditionalFormatting sqref="F7:R7">
    <cfRule type="containsText" dxfId="21" priority="11" operator="containsText" text="STMN06">
      <formula>NOT(ISERROR(SEARCH("STMN06",F7)))</formula>
    </cfRule>
    <cfRule type="containsText" dxfId="20" priority="12" operator="containsText" text="STAN13">
      <formula>NOT(ISERROR(SEARCH("STAN13",F7)))</formula>
    </cfRule>
    <cfRule type="containsText" dxfId="19" priority="13" operator="containsText" text="TR">
      <formula>NOT(ISERROR(SEARCH("TR",F7)))</formula>
    </cfRule>
    <cfRule type="containsText" dxfId="18" priority="14" operator="containsText" text="LV">
      <formula>NOT(ISERROR(SEARCH("LV",F7)))</formula>
    </cfRule>
    <cfRule type="containsText" dxfId="17" priority="15" operator="containsText" text="AN13">
      <formula>NOT(ISERROR(SEARCH("AN13",F7)))</formula>
    </cfRule>
    <cfRule type="containsText" dxfId="16" priority="16" operator="containsText" text="AN13">
      <formula>NOT(ISERROR(SEARCH("AN13",F7)))</formula>
    </cfRule>
    <cfRule type="containsText" dxfId="15" priority="17" operator="containsText" text="AN13">
      <formula>NOT(ISERROR(SEARCH("AN13",F7)))</formula>
    </cfRule>
    <cfRule type="containsText" dxfId="14" priority="18" operator="containsText" text="MN06">
      <formula>NOT(ISERROR(SEARCH("MN06",F7)))</formula>
    </cfRule>
    <cfRule type="containsText" dxfId="13" priority="19" operator="containsText" text="STAN13">
      <formula>NOT(ISERROR(SEARCH("STAN13",F7)))</formula>
    </cfRule>
    <cfRule type="containsText" dxfId="12" priority="20" operator="containsText" text="STNN21">
      <formula>NOT(ISERROR(SEARCH("STNN21",F7)))</formula>
    </cfRule>
    <cfRule type="containsText" dxfId="11" priority="21" operator="containsText" text="NN21">
      <formula>NOT(ISERROR(SEARCH("NN21",F7)))</formula>
    </cfRule>
    <cfRule type="containsText" dxfId="10" priority="22" operator="containsText" text="OFF">
      <formula>NOT(ISERROR(SEARCH("OFF",F7)))</formula>
    </cfRule>
  </conditionalFormatting>
  <conditionalFormatting sqref="F64:AI82">
    <cfRule type="containsText" dxfId="9" priority="1" operator="containsText" text="STMN06">
      <formula>NOT(ISERROR(SEARCH("STMN06",F64)))</formula>
    </cfRule>
    <cfRule type="containsText" dxfId="8" priority="2" operator="containsText" text="STAN13">
      <formula>NOT(ISERROR(SEARCH("STAN13",F64)))</formula>
    </cfRule>
    <cfRule type="containsText" dxfId="7" priority="3" operator="containsText" text="STNN21">
      <formula>NOT(ISERROR(SEARCH("STNN21",F64)))</formula>
    </cfRule>
    <cfRule type="containsText" dxfId="6" priority="4" operator="containsText" text="LV">
      <formula>NOT(ISERROR(SEARCH("LV",F64)))</formula>
    </cfRule>
    <cfRule type="containsText" dxfId="5" priority="5" operator="containsText" text="TR">
      <formula>NOT(ISERROR(SEARCH("TR",F64)))</formula>
    </cfRule>
    <cfRule type="containsText" dxfId="4" priority="6" operator="containsText" text="NN21">
      <formula>NOT(ISERROR(SEARCH("NN21",F64)))</formula>
    </cfRule>
    <cfRule type="containsText" dxfId="3" priority="7" operator="containsText" text="NN13">
      <formula>NOT(ISERROR(SEARCH("NN13",F64)))</formula>
    </cfRule>
    <cfRule type="containsText" dxfId="2" priority="8" operator="containsText" text="AN13">
      <formula>NOT(ISERROR(SEARCH("AN13",F64)))</formula>
    </cfRule>
    <cfRule type="containsText" dxfId="1" priority="9" operator="containsText" text="MN06">
      <formula>NOT(ISERROR(SEARCH("MN06",F64)))</formula>
    </cfRule>
    <cfRule type="containsText" dxfId="0" priority="10" operator="containsText" text="OFF">
      <formula>NOT(ISERROR(SEARCH("OFF",F64)))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70" zoomScaleNormal="70" workbookViewId="0">
      <pane xSplit="4" ySplit="4" topLeftCell="H5" activePane="bottomRight" state="frozen"/>
      <selection pane="topRight" activeCell="E1" sqref="E1"/>
      <selection pane="bottomLeft" activeCell="A5" sqref="A5"/>
      <selection pane="bottomRight" activeCell="F5" sqref="F5:AI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76" t="s">
        <v>233</v>
      </c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8"/>
      <c r="AL2" s="179" t="s">
        <v>111</v>
      </c>
      <c r="AM2" s="179" t="s">
        <v>112</v>
      </c>
      <c r="AN2" s="179" t="s">
        <v>115</v>
      </c>
      <c r="AO2" s="179" t="s">
        <v>113</v>
      </c>
      <c r="AP2" s="179" t="s">
        <v>114</v>
      </c>
    </row>
    <row r="3" spans="2:42" ht="39.75" thickBot="1" x14ac:dyDescent="0.3">
      <c r="B3" s="172" t="s">
        <v>105</v>
      </c>
      <c r="C3" s="172"/>
      <c r="D3" s="172"/>
      <c r="F3" s="49" t="s">
        <v>97</v>
      </c>
      <c r="G3" s="50" t="s">
        <v>98</v>
      </c>
      <c r="H3" s="50" t="s">
        <v>99</v>
      </c>
      <c r="I3" s="49" t="s">
        <v>100</v>
      </c>
      <c r="J3" s="50" t="s">
        <v>101</v>
      </c>
      <c r="K3" s="50" t="s">
        <v>95</v>
      </c>
      <c r="L3" s="49" t="s">
        <v>96</v>
      </c>
      <c r="M3" s="50" t="s">
        <v>97</v>
      </c>
      <c r="N3" s="50" t="s">
        <v>98</v>
      </c>
      <c r="O3" s="49" t="s">
        <v>99</v>
      </c>
      <c r="P3" s="50" t="s">
        <v>100</v>
      </c>
      <c r="Q3" s="50" t="s">
        <v>101</v>
      </c>
      <c r="R3" s="49" t="s">
        <v>95</v>
      </c>
      <c r="S3" s="50" t="s">
        <v>96</v>
      </c>
      <c r="T3" s="50" t="s">
        <v>97</v>
      </c>
      <c r="U3" s="49" t="s">
        <v>98</v>
      </c>
      <c r="V3" s="50" t="s">
        <v>99</v>
      </c>
      <c r="W3" s="50" t="s">
        <v>100</v>
      </c>
      <c r="X3" s="49" t="s">
        <v>101</v>
      </c>
      <c r="Y3" s="50" t="s">
        <v>95</v>
      </c>
      <c r="Z3" s="50" t="s">
        <v>96</v>
      </c>
      <c r="AA3" s="49" t="s">
        <v>97</v>
      </c>
      <c r="AB3" s="50" t="s">
        <v>98</v>
      </c>
      <c r="AC3" s="50" t="s">
        <v>99</v>
      </c>
      <c r="AD3" s="49" t="s">
        <v>100</v>
      </c>
      <c r="AE3" s="50" t="s">
        <v>101</v>
      </c>
      <c r="AF3" s="50" t="s">
        <v>95</v>
      </c>
      <c r="AG3" s="49" t="s">
        <v>96</v>
      </c>
      <c r="AH3" s="50" t="s">
        <v>97</v>
      </c>
      <c r="AI3" s="50" t="s">
        <v>98</v>
      </c>
      <c r="AJ3" s="49" t="s">
        <v>94</v>
      </c>
      <c r="AL3" s="180"/>
      <c r="AM3" s="180"/>
      <c r="AN3" s="180"/>
      <c r="AO3" s="180"/>
      <c r="AP3" s="180"/>
    </row>
    <row r="4" spans="2:42" ht="19.5" customHeight="1" thickBot="1" x14ac:dyDescent="0.3">
      <c r="B4" s="172"/>
      <c r="C4" s="172"/>
      <c r="D4" s="172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03" t="s">
        <v>94</v>
      </c>
      <c r="AL4" s="181"/>
      <c r="AM4" s="181"/>
      <c r="AN4" s="181"/>
      <c r="AO4" s="181"/>
      <c r="AP4" s="181"/>
    </row>
    <row r="5" spans="2:42" ht="18.75" x14ac:dyDescent="0.25">
      <c r="B5" s="37">
        <v>1</v>
      </c>
      <c r="C5" s="141" t="s">
        <v>164</v>
      </c>
      <c r="D5" s="141"/>
      <c r="F5" s="23" t="s">
        <v>211</v>
      </c>
      <c r="G5" s="23" t="s">
        <v>211</v>
      </c>
      <c r="H5" s="23" t="s">
        <v>228</v>
      </c>
      <c r="I5" s="23" t="s">
        <v>228</v>
      </c>
      <c r="J5" s="23" t="s">
        <v>211</v>
      </c>
      <c r="K5" s="23" t="s">
        <v>211</v>
      </c>
      <c r="L5" s="23" t="s">
        <v>211</v>
      </c>
      <c r="M5" s="23" t="s">
        <v>211</v>
      </c>
      <c r="N5" s="23" t="s">
        <v>211</v>
      </c>
      <c r="O5" s="23" t="s">
        <v>228</v>
      </c>
      <c r="P5" s="23" t="s">
        <v>228</v>
      </c>
      <c r="Q5" s="23" t="s">
        <v>211</v>
      </c>
      <c r="R5" s="23" t="s">
        <v>211</v>
      </c>
      <c r="S5" s="23" t="s">
        <v>211</v>
      </c>
      <c r="T5" s="23" t="s">
        <v>211</v>
      </c>
      <c r="U5" s="23" t="s">
        <v>211</v>
      </c>
      <c r="V5" s="23" t="s">
        <v>228</v>
      </c>
      <c r="W5" s="23" t="s">
        <v>228</v>
      </c>
      <c r="X5" s="23" t="s">
        <v>211</v>
      </c>
      <c r="Y5" s="23" t="s">
        <v>211</v>
      </c>
      <c r="Z5" s="23" t="s">
        <v>211</v>
      </c>
      <c r="AA5" s="23" t="s">
        <v>211</v>
      </c>
      <c r="AB5" s="23" t="s">
        <v>211</v>
      </c>
      <c r="AC5" s="23" t="s">
        <v>228</v>
      </c>
      <c r="AD5" s="23" t="s">
        <v>228</v>
      </c>
      <c r="AE5" s="23" t="s">
        <v>211</v>
      </c>
      <c r="AF5" s="23" t="s">
        <v>211</v>
      </c>
      <c r="AG5" s="23" t="s">
        <v>211</v>
      </c>
      <c r="AH5" s="23" t="s">
        <v>211</v>
      </c>
      <c r="AI5" s="23" t="s">
        <v>211</v>
      </c>
      <c r="AJ5" s="23"/>
      <c r="AL5" s="51">
        <f t="shared" ref="AL5:AL8" si="0">COUNTIF($F5:$AJ5,"ST*")</f>
        <v>0</v>
      </c>
      <c r="AM5" s="51">
        <f t="shared" ref="AM5:AM8" si="1">COUNTIF($F5:$AJ5,"M*")</f>
        <v>22</v>
      </c>
      <c r="AN5" s="51">
        <f t="shared" ref="AN5:AN8" si="2">COUNTIF($F5:$AJ5,"A*")</f>
        <v>0</v>
      </c>
      <c r="AO5" s="51">
        <f t="shared" ref="AO5:AO8" si="3">COUNTIF($F5:$AJ5,"N*")</f>
        <v>0</v>
      </c>
      <c r="AP5" s="51">
        <f t="shared" ref="AP5:AP8" si="4">COUNTIF($F5:$AJ5,"O*")</f>
        <v>8</v>
      </c>
    </row>
    <row r="6" spans="2:42" ht="18.75" x14ac:dyDescent="0.25">
      <c r="B6" s="37">
        <v>2</v>
      </c>
      <c r="C6" s="141" t="s">
        <v>167</v>
      </c>
      <c r="D6" s="141"/>
      <c r="F6" s="52" t="s">
        <v>211</v>
      </c>
      <c r="G6" s="52" t="s">
        <v>211</v>
      </c>
      <c r="H6" s="52" t="s">
        <v>228</v>
      </c>
      <c r="I6" s="52" t="s">
        <v>228</v>
      </c>
      <c r="J6" s="52" t="s">
        <v>211</v>
      </c>
      <c r="K6" s="52" t="s">
        <v>211</v>
      </c>
      <c r="L6" s="52" t="s">
        <v>211</v>
      </c>
      <c r="M6" s="52" t="s">
        <v>211</v>
      </c>
      <c r="N6" s="52" t="s">
        <v>126</v>
      </c>
      <c r="O6" s="52" t="s">
        <v>228</v>
      </c>
      <c r="P6" s="52" t="s">
        <v>228</v>
      </c>
      <c r="Q6" s="52" t="s">
        <v>211</v>
      </c>
      <c r="R6" s="52" t="s">
        <v>211</v>
      </c>
      <c r="S6" s="52" t="s">
        <v>211</v>
      </c>
      <c r="T6" s="52" t="s">
        <v>211</v>
      </c>
      <c r="U6" s="52" t="s">
        <v>211</v>
      </c>
      <c r="V6" s="52" t="s">
        <v>228</v>
      </c>
      <c r="W6" s="52" t="s">
        <v>228</v>
      </c>
      <c r="X6" s="52" t="s">
        <v>211</v>
      </c>
      <c r="Y6" s="52" t="s">
        <v>211</v>
      </c>
      <c r="Z6" s="52" t="s">
        <v>211</v>
      </c>
      <c r="AA6" s="52" t="s">
        <v>211</v>
      </c>
      <c r="AB6" s="52" t="s">
        <v>211</v>
      </c>
      <c r="AC6" s="52" t="s">
        <v>228</v>
      </c>
      <c r="AD6" s="52" t="s">
        <v>228</v>
      </c>
      <c r="AE6" s="52" t="s">
        <v>211</v>
      </c>
      <c r="AF6" s="52" t="s">
        <v>211</v>
      </c>
      <c r="AG6" s="52" t="s">
        <v>211</v>
      </c>
      <c r="AH6" s="52" t="s">
        <v>211</v>
      </c>
      <c r="AI6" s="52" t="s">
        <v>211</v>
      </c>
      <c r="AJ6" s="52"/>
      <c r="AL6" s="51">
        <f t="shared" si="0"/>
        <v>0</v>
      </c>
      <c r="AM6" s="51">
        <f t="shared" si="1"/>
        <v>21</v>
      </c>
      <c r="AN6" s="51">
        <f t="shared" si="2"/>
        <v>0</v>
      </c>
      <c r="AO6" s="51">
        <f t="shared" si="3"/>
        <v>0</v>
      </c>
      <c r="AP6" s="51">
        <f t="shared" si="4"/>
        <v>8</v>
      </c>
    </row>
    <row r="7" spans="2:42" ht="18.75" x14ac:dyDescent="0.25">
      <c r="B7" s="37">
        <v>3</v>
      </c>
      <c r="C7" s="141" t="s">
        <v>165</v>
      </c>
      <c r="D7" s="141"/>
      <c r="F7" s="57" t="s">
        <v>229</v>
      </c>
      <c r="G7" s="57" t="s">
        <v>229</v>
      </c>
      <c r="H7" s="57" t="s">
        <v>229</v>
      </c>
      <c r="I7" s="57" t="s">
        <v>229</v>
      </c>
      <c r="J7" s="57" t="s">
        <v>229</v>
      </c>
      <c r="K7" s="57" t="s">
        <v>229</v>
      </c>
      <c r="L7" s="57" t="s">
        <v>229</v>
      </c>
      <c r="M7" s="57" t="s">
        <v>229</v>
      </c>
      <c r="N7" s="57" t="s">
        <v>229</v>
      </c>
      <c r="O7" s="57" t="s">
        <v>229</v>
      </c>
      <c r="P7" s="57" t="s">
        <v>229</v>
      </c>
      <c r="Q7" s="57" t="s">
        <v>229</v>
      </c>
      <c r="R7" s="57" t="s">
        <v>229</v>
      </c>
      <c r="S7" s="52" t="s">
        <v>228</v>
      </c>
      <c r="T7" s="52" t="s">
        <v>228</v>
      </c>
      <c r="U7" s="52" t="s">
        <v>203</v>
      </c>
      <c r="V7" s="52" t="s">
        <v>203</v>
      </c>
      <c r="W7" s="52" t="s">
        <v>203</v>
      </c>
      <c r="X7" s="52" t="s">
        <v>204</v>
      </c>
      <c r="Y7" s="52" t="s">
        <v>204</v>
      </c>
      <c r="Z7" s="52" t="s">
        <v>228</v>
      </c>
      <c r="AA7" s="52" t="s">
        <v>228</v>
      </c>
      <c r="AB7" s="52" t="s">
        <v>203</v>
      </c>
      <c r="AC7" s="52" t="s">
        <v>203</v>
      </c>
      <c r="AD7" s="52" t="s">
        <v>203</v>
      </c>
      <c r="AE7" s="52" t="s">
        <v>126</v>
      </c>
      <c r="AF7" s="52" t="s">
        <v>204</v>
      </c>
      <c r="AG7" s="52" t="s">
        <v>228</v>
      </c>
      <c r="AH7" s="52" t="s">
        <v>228</v>
      </c>
      <c r="AI7" s="52" t="s">
        <v>203</v>
      </c>
      <c r="AJ7" s="52"/>
      <c r="AL7" s="51">
        <f t="shared" si="0"/>
        <v>0</v>
      </c>
      <c r="AM7" s="51">
        <f t="shared" si="1"/>
        <v>7</v>
      </c>
      <c r="AN7" s="51">
        <f t="shared" si="2"/>
        <v>3</v>
      </c>
      <c r="AO7" s="51">
        <f t="shared" si="3"/>
        <v>0</v>
      </c>
      <c r="AP7" s="51">
        <f t="shared" si="4"/>
        <v>6</v>
      </c>
    </row>
    <row r="8" spans="2:42" ht="18.75" x14ac:dyDescent="0.25">
      <c r="B8" s="37">
        <v>4</v>
      </c>
      <c r="C8" s="141" t="s">
        <v>166</v>
      </c>
      <c r="D8" s="141"/>
      <c r="F8" s="52" t="s">
        <v>203</v>
      </c>
      <c r="G8" s="52" t="s">
        <v>204</v>
      </c>
      <c r="H8" s="52" t="s">
        <v>204</v>
      </c>
      <c r="I8" s="52" t="s">
        <v>204</v>
      </c>
      <c r="J8" s="52" t="s">
        <v>228</v>
      </c>
      <c r="K8" s="52" t="s">
        <v>228</v>
      </c>
      <c r="L8" s="52" t="s">
        <v>203</v>
      </c>
      <c r="M8" s="52" t="s">
        <v>203</v>
      </c>
      <c r="N8" s="52" t="s">
        <v>126</v>
      </c>
      <c r="O8" s="52" t="s">
        <v>204</v>
      </c>
      <c r="P8" s="52" t="s">
        <v>204</v>
      </c>
      <c r="Q8" s="57" t="s">
        <v>228</v>
      </c>
      <c r="R8" s="57" t="s">
        <v>228</v>
      </c>
      <c r="S8" s="52" t="s">
        <v>203</v>
      </c>
      <c r="T8" s="52" t="s">
        <v>203</v>
      </c>
      <c r="U8" s="52" t="s">
        <v>204</v>
      </c>
      <c r="V8" s="52" t="s">
        <v>204</v>
      </c>
      <c r="W8" s="52" t="s">
        <v>204</v>
      </c>
      <c r="X8" s="52" t="s">
        <v>228</v>
      </c>
      <c r="Y8" s="52" t="s">
        <v>228</v>
      </c>
      <c r="Z8" s="52" t="s">
        <v>203</v>
      </c>
      <c r="AA8" s="52" t="s">
        <v>203</v>
      </c>
      <c r="AB8" s="52" t="s">
        <v>204</v>
      </c>
      <c r="AC8" s="52" t="s">
        <v>204</v>
      </c>
      <c r="AD8" s="52" t="s">
        <v>204</v>
      </c>
      <c r="AE8" s="57" t="s">
        <v>228</v>
      </c>
      <c r="AF8" s="57" t="s">
        <v>228</v>
      </c>
      <c r="AG8" s="52" t="s">
        <v>203</v>
      </c>
      <c r="AH8" s="52" t="s">
        <v>203</v>
      </c>
      <c r="AI8" s="52" t="s">
        <v>204</v>
      </c>
      <c r="AJ8" s="52"/>
      <c r="AL8" s="51">
        <f t="shared" si="0"/>
        <v>0</v>
      </c>
      <c r="AM8" s="51">
        <f t="shared" si="1"/>
        <v>9</v>
      </c>
      <c r="AN8" s="51">
        <f t="shared" si="2"/>
        <v>12</v>
      </c>
      <c r="AO8" s="51">
        <f t="shared" si="3"/>
        <v>0</v>
      </c>
      <c r="AP8" s="51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71" t="s">
        <v>91</v>
      </c>
      <c r="D10" s="171"/>
      <c r="E10" s="36"/>
      <c r="F10" s="37">
        <f t="shared" ref="F10:AJ10" si="5">COUNTIF(F$5:F$8,"M*")</f>
        <v>3</v>
      </c>
      <c r="G10" s="37">
        <f t="shared" si="5"/>
        <v>2</v>
      </c>
      <c r="H10" s="37">
        <f t="shared" si="5"/>
        <v>0</v>
      </c>
      <c r="I10" s="37">
        <f t="shared" si="5"/>
        <v>0</v>
      </c>
      <c r="J10" s="37">
        <f t="shared" si="5"/>
        <v>2</v>
      </c>
      <c r="K10" s="37">
        <f t="shared" si="5"/>
        <v>2</v>
      </c>
      <c r="L10" s="37">
        <f t="shared" si="5"/>
        <v>3</v>
      </c>
      <c r="M10" s="37">
        <f t="shared" si="5"/>
        <v>3</v>
      </c>
      <c r="N10" s="37">
        <f t="shared" si="5"/>
        <v>1</v>
      </c>
      <c r="O10" s="37">
        <f t="shared" si="5"/>
        <v>0</v>
      </c>
      <c r="P10" s="37">
        <f t="shared" si="5"/>
        <v>0</v>
      </c>
      <c r="Q10" s="37">
        <f t="shared" si="5"/>
        <v>2</v>
      </c>
      <c r="R10" s="37">
        <f t="shared" si="5"/>
        <v>2</v>
      </c>
      <c r="S10" s="37">
        <f t="shared" si="5"/>
        <v>3</v>
      </c>
      <c r="T10" s="37">
        <f t="shared" si="5"/>
        <v>3</v>
      </c>
      <c r="U10" s="37">
        <f t="shared" si="5"/>
        <v>3</v>
      </c>
      <c r="V10" s="37">
        <f t="shared" si="5"/>
        <v>1</v>
      </c>
      <c r="W10" s="37">
        <f t="shared" si="5"/>
        <v>1</v>
      </c>
      <c r="X10" s="37">
        <f t="shared" si="5"/>
        <v>2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3</v>
      </c>
      <c r="AC10" s="37">
        <f t="shared" si="5"/>
        <v>1</v>
      </c>
      <c r="AD10" s="37">
        <f t="shared" si="5"/>
        <v>1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3</v>
      </c>
      <c r="AJ10" s="37">
        <f t="shared" si="5"/>
        <v>0</v>
      </c>
    </row>
    <row r="11" spans="2:42" ht="18.75" x14ac:dyDescent="0.3">
      <c r="C11" s="171" t="s">
        <v>92</v>
      </c>
      <c r="D11" s="171"/>
      <c r="E11" s="36"/>
      <c r="F11" s="37">
        <f t="shared" ref="F11:AJ11" si="6">COUNTIF(F$5:F$8,"A*")</f>
        <v>0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0</v>
      </c>
      <c r="K11" s="37">
        <f t="shared" si="6"/>
        <v>0</v>
      </c>
      <c r="L11" s="37">
        <f t="shared" si="6"/>
        <v>0</v>
      </c>
      <c r="M11" s="37">
        <f t="shared" si="6"/>
        <v>0</v>
      </c>
      <c r="N11" s="37">
        <f t="shared" si="6"/>
        <v>0</v>
      </c>
      <c r="O11" s="37">
        <f t="shared" si="6"/>
        <v>1</v>
      </c>
      <c r="P11" s="37">
        <f t="shared" si="6"/>
        <v>1</v>
      </c>
      <c r="Q11" s="37">
        <f t="shared" si="6"/>
        <v>0</v>
      </c>
      <c r="R11" s="37">
        <f t="shared" si="6"/>
        <v>0</v>
      </c>
      <c r="S11" s="37">
        <f t="shared" si="6"/>
        <v>0</v>
      </c>
      <c r="T11" s="37">
        <f t="shared" si="6"/>
        <v>0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0</v>
      </c>
      <c r="AA11" s="37">
        <f t="shared" si="6"/>
        <v>0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1</v>
      </c>
      <c r="AG11" s="37">
        <f t="shared" si="6"/>
        <v>0</v>
      </c>
      <c r="AH11" s="37">
        <f t="shared" si="6"/>
        <v>0</v>
      </c>
      <c r="AI11" s="37">
        <f t="shared" si="6"/>
        <v>1</v>
      </c>
      <c r="AJ11" s="37">
        <f t="shared" si="6"/>
        <v>0</v>
      </c>
    </row>
    <row r="12" spans="2:42" ht="18.75" x14ac:dyDescent="0.3">
      <c r="C12" s="171" t="s">
        <v>72</v>
      </c>
      <c r="D12" s="171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71" t="s">
        <v>73</v>
      </c>
      <c r="D13" s="171"/>
      <c r="E13" s="36"/>
      <c r="F13" s="37">
        <f t="shared" ref="F13:AJ13" si="8">COUNTIF(F$5:F$8,"O*")</f>
        <v>0</v>
      </c>
      <c r="G13" s="37">
        <f t="shared" si="8"/>
        <v>0</v>
      </c>
      <c r="H13" s="37">
        <f t="shared" si="8"/>
        <v>2</v>
      </c>
      <c r="I13" s="37">
        <f t="shared" si="8"/>
        <v>2</v>
      </c>
      <c r="J13" s="37">
        <f t="shared" si="8"/>
        <v>1</v>
      </c>
      <c r="K13" s="37">
        <f t="shared" si="8"/>
        <v>1</v>
      </c>
      <c r="L13" s="37">
        <f t="shared" si="8"/>
        <v>0</v>
      </c>
      <c r="M13" s="37">
        <f t="shared" si="8"/>
        <v>0</v>
      </c>
      <c r="N13" s="37">
        <f t="shared" si="8"/>
        <v>0</v>
      </c>
      <c r="O13" s="37">
        <f t="shared" si="8"/>
        <v>2</v>
      </c>
      <c r="P13" s="37">
        <f t="shared" si="8"/>
        <v>2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2</v>
      </c>
      <c r="W13" s="37">
        <f t="shared" si="8"/>
        <v>2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0</v>
      </c>
      <c r="AC13" s="37">
        <f t="shared" si="8"/>
        <v>2</v>
      </c>
      <c r="AD13" s="37">
        <f t="shared" si="8"/>
        <v>2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1</v>
      </c>
      <c r="AI13" s="37">
        <f t="shared" si="8"/>
        <v>0</v>
      </c>
      <c r="AJ13" s="37">
        <f t="shared" si="8"/>
        <v>0</v>
      </c>
    </row>
    <row r="14" spans="2:42" ht="18.75" x14ac:dyDescent="0.3">
      <c r="C14" s="167" t="s">
        <v>125</v>
      </c>
      <c r="D14" s="168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2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1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67" t="s">
        <v>106</v>
      </c>
      <c r="D15" s="168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69" t="s">
        <v>104</v>
      </c>
      <c r="D16" s="169"/>
      <c r="E16" s="38"/>
      <c r="F16" s="54">
        <f>F18-F19</f>
        <v>1</v>
      </c>
      <c r="G16" s="54">
        <f t="shared" ref="G16:AJ16" si="11">G18-G19</f>
        <v>1</v>
      </c>
      <c r="H16" s="54">
        <f t="shared" si="11"/>
        <v>-1</v>
      </c>
      <c r="I16" s="54">
        <f t="shared" si="11"/>
        <v>-1</v>
      </c>
      <c r="J16" s="54">
        <f t="shared" si="11"/>
        <v>0</v>
      </c>
      <c r="K16" s="54">
        <f t="shared" si="11"/>
        <v>0</v>
      </c>
      <c r="L16" s="54">
        <f t="shared" si="11"/>
        <v>1</v>
      </c>
      <c r="M16" s="54">
        <f t="shared" si="11"/>
        <v>1</v>
      </c>
      <c r="N16" s="54">
        <f t="shared" si="11"/>
        <v>-1</v>
      </c>
      <c r="O16" s="54">
        <f t="shared" si="11"/>
        <v>-1</v>
      </c>
      <c r="P16" s="54">
        <f t="shared" si="11"/>
        <v>-1</v>
      </c>
      <c r="Q16" s="54">
        <f t="shared" si="11"/>
        <v>0</v>
      </c>
      <c r="R16" s="54">
        <f t="shared" si="11"/>
        <v>0</v>
      </c>
      <c r="S16" s="54">
        <f t="shared" si="11"/>
        <v>1</v>
      </c>
      <c r="T16" s="54">
        <f t="shared" si="11"/>
        <v>1</v>
      </c>
      <c r="U16" s="54">
        <f t="shared" si="11"/>
        <v>2</v>
      </c>
      <c r="V16" s="54">
        <f t="shared" si="11"/>
        <v>0</v>
      </c>
      <c r="W16" s="54">
        <f t="shared" si="11"/>
        <v>0</v>
      </c>
      <c r="X16" s="54">
        <f t="shared" si="11"/>
        <v>1</v>
      </c>
      <c r="Y16" s="54">
        <f t="shared" si="11"/>
        <v>1</v>
      </c>
      <c r="Z16" s="54">
        <f t="shared" si="11"/>
        <v>1</v>
      </c>
      <c r="AA16" s="54">
        <f t="shared" si="11"/>
        <v>1</v>
      </c>
      <c r="AB16" s="54">
        <f t="shared" si="11"/>
        <v>2</v>
      </c>
      <c r="AC16" s="54">
        <f t="shared" si="11"/>
        <v>0</v>
      </c>
      <c r="AD16" s="54">
        <f t="shared" si="11"/>
        <v>0</v>
      </c>
      <c r="AE16" s="54">
        <f t="shared" si="11"/>
        <v>0</v>
      </c>
      <c r="AF16" s="54">
        <f t="shared" si="11"/>
        <v>1</v>
      </c>
      <c r="AG16" s="54">
        <f t="shared" si="11"/>
        <v>1</v>
      </c>
      <c r="AH16" s="54">
        <f t="shared" si="11"/>
        <v>1</v>
      </c>
      <c r="AI16" s="54">
        <f t="shared" si="11"/>
        <v>2</v>
      </c>
      <c r="AJ16" s="54">
        <f t="shared" si="11"/>
        <v>16</v>
      </c>
    </row>
    <row r="17" spans="3:36" ht="9.75" customHeight="1" x14ac:dyDescent="0.3">
      <c r="C17" s="40"/>
      <c r="D17" s="40"/>
      <c r="E17" s="36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</row>
    <row r="18" spans="3:36" ht="18.75" x14ac:dyDescent="0.3">
      <c r="C18" s="171" t="s">
        <v>102</v>
      </c>
      <c r="D18" s="171"/>
      <c r="E18" s="36"/>
      <c r="F18" s="41">
        <f>SUM(F10:F12)</f>
        <v>3</v>
      </c>
      <c r="G18" s="41">
        <f t="shared" ref="G18:AI18" si="12">SUM(G10:G12)</f>
        <v>3</v>
      </c>
      <c r="H18" s="41">
        <f t="shared" si="12"/>
        <v>1</v>
      </c>
      <c r="I18" s="41">
        <f t="shared" si="12"/>
        <v>1</v>
      </c>
      <c r="J18" s="41">
        <f t="shared" si="12"/>
        <v>2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1</v>
      </c>
      <c r="O18" s="41">
        <f t="shared" si="12"/>
        <v>1</v>
      </c>
      <c r="P18" s="41">
        <f t="shared" si="12"/>
        <v>1</v>
      </c>
      <c r="Q18" s="41">
        <f t="shared" si="12"/>
        <v>2</v>
      </c>
      <c r="R18" s="41">
        <f t="shared" si="12"/>
        <v>2</v>
      </c>
      <c r="S18" s="41">
        <f t="shared" si="12"/>
        <v>3</v>
      </c>
      <c r="T18" s="41">
        <f t="shared" si="12"/>
        <v>3</v>
      </c>
      <c r="U18" s="41">
        <f t="shared" si="12"/>
        <v>4</v>
      </c>
      <c r="V18" s="41">
        <f t="shared" si="12"/>
        <v>2</v>
      </c>
      <c r="W18" s="41">
        <f t="shared" si="12"/>
        <v>2</v>
      </c>
      <c r="X18" s="41">
        <f t="shared" si="12"/>
        <v>3</v>
      </c>
      <c r="Y18" s="41">
        <f t="shared" si="12"/>
        <v>3</v>
      </c>
      <c r="Z18" s="41">
        <f t="shared" si="12"/>
        <v>3</v>
      </c>
      <c r="AA18" s="41">
        <f t="shared" si="12"/>
        <v>3</v>
      </c>
      <c r="AB18" s="41">
        <f t="shared" si="12"/>
        <v>4</v>
      </c>
      <c r="AC18" s="41">
        <f t="shared" si="12"/>
        <v>2</v>
      </c>
      <c r="AD18" s="41">
        <f t="shared" si="12"/>
        <v>2</v>
      </c>
      <c r="AE18" s="41">
        <f t="shared" si="12"/>
        <v>2</v>
      </c>
      <c r="AF18" s="41">
        <f t="shared" si="12"/>
        <v>3</v>
      </c>
      <c r="AG18" s="41">
        <f t="shared" si="12"/>
        <v>3</v>
      </c>
      <c r="AH18" s="41">
        <f t="shared" si="12"/>
        <v>3</v>
      </c>
      <c r="AI18" s="41">
        <f t="shared" si="12"/>
        <v>4</v>
      </c>
      <c r="AJ18" s="41">
        <v>18</v>
      </c>
    </row>
    <row r="19" spans="3:36" ht="18.75" x14ac:dyDescent="0.3">
      <c r="C19" s="171" t="s">
        <v>90</v>
      </c>
      <c r="D19" s="171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71" t="s">
        <v>103</v>
      </c>
      <c r="D20" s="171"/>
      <c r="E20" s="36"/>
      <c r="F20" s="37">
        <f>SUM(F10,F11,F12,F13,F15)</f>
        <v>3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3</v>
      </c>
      <c r="J20" s="37">
        <f t="shared" si="13"/>
        <v>3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1</v>
      </c>
      <c r="O20" s="37">
        <f t="shared" si="13"/>
        <v>3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190" t="s">
        <v>206</v>
      </c>
      <c r="G22" s="191"/>
      <c r="H22" s="192"/>
    </row>
    <row r="23" spans="3:36" x14ac:dyDescent="0.25">
      <c r="F23" s="66" t="s">
        <v>124</v>
      </c>
      <c r="G23" s="193" t="s">
        <v>202</v>
      </c>
      <c r="H23" s="194"/>
    </row>
    <row r="24" spans="3:36" x14ac:dyDescent="0.25">
      <c r="F24" s="75" t="s">
        <v>118</v>
      </c>
      <c r="G24" s="188" t="s">
        <v>203</v>
      </c>
      <c r="H24" s="195"/>
    </row>
    <row r="25" spans="3:36" x14ac:dyDescent="0.25">
      <c r="F25" s="68" t="s">
        <v>200</v>
      </c>
      <c r="G25" s="196" t="s">
        <v>204</v>
      </c>
      <c r="H25" s="197"/>
    </row>
    <row r="26" spans="3:36" x14ac:dyDescent="0.25">
      <c r="F26" s="69" t="s">
        <v>201</v>
      </c>
      <c r="G26" s="198" t="s">
        <v>205</v>
      </c>
      <c r="H26" s="199"/>
    </row>
    <row r="27" spans="3:36" x14ac:dyDescent="0.25">
      <c r="F27" s="70" t="s">
        <v>126</v>
      </c>
      <c r="G27" s="182" t="s">
        <v>208</v>
      </c>
      <c r="H27" s="183"/>
    </row>
    <row r="28" spans="3:36" x14ac:dyDescent="0.25">
      <c r="F28" s="71"/>
      <c r="G28" s="184" t="s">
        <v>207</v>
      </c>
      <c r="H28" s="185"/>
    </row>
    <row r="29" spans="3:36" x14ac:dyDescent="0.25">
      <c r="F29" s="73" t="s">
        <v>209</v>
      </c>
      <c r="G29" s="186" t="s">
        <v>210</v>
      </c>
      <c r="H29" s="187"/>
    </row>
    <row r="30" spans="3:36" x14ac:dyDescent="0.25">
      <c r="F30" s="74" t="s">
        <v>211</v>
      </c>
      <c r="G30" s="188" t="s">
        <v>212</v>
      </c>
      <c r="H30" s="189"/>
    </row>
    <row r="38" spans="18:18" x14ac:dyDescent="0.25">
      <c r="R38" s="18" t="s">
        <v>94</v>
      </c>
    </row>
  </sheetData>
  <mergeCells count="31"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J8">
    <cfRule type="containsText" dxfId="155" priority="1" operator="containsText" text="TR">
      <formula>NOT(ISERROR(SEARCH("TR",F5)))</formula>
    </cfRule>
    <cfRule type="containsText" dxfId="154" priority="2" operator="containsText" text="MN06">
      <formula>NOT(ISERROR(SEARCH("MN06",F5)))</formula>
    </cfRule>
    <cfRule type="containsText" dxfId="153" priority="3" operator="containsText" text="AN13">
      <formula>NOT(ISERROR(SEARCH("AN13",F5)))</formula>
    </cfRule>
    <cfRule type="containsText" dxfId="152" priority="4" operator="containsText" text="OFF">
      <formula>NOT(ISERROR(SEARCH("OFF",F5)))</formula>
    </cfRule>
    <cfRule type="containsText" dxfId="151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7" sqref="J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76" t="s">
        <v>233</v>
      </c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8"/>
      <c r="AL2" s="179" t="s">
        <v>111</v>
      </c>
      <c r="AM2" s="179" t="s">
        <v>112</v>
      </c>
      <c r="AN2" s="179" t="s">
        <v>115</v>
      </c>
      <c r="AO2" s="179" t="s">
        <v>113</v>
      </c>
      <c r="AP2" s="179" t="s">
        <v>114</v>
      </c>
    </row>
    <row r="3" spans="2:42" ht="39.75" thickBot="1" x14ac:dyDescent="0.3">
      <c r="B3" s="172" t="s">
        <v>105</v>
      </c>
      <c r="C3" s="172"/>
      <c r="D3" s="172"/>
      <c r="F3" s="49" t="s">
        <v>97</v>
      </c>
      <c r="G3" s="50" t="s">
        <v>98</v>
      </c>
      <c r="H3" s="50" t="s">
        <v>99</v>
      </c>
      <c r="I3" s="49" t="s">
        <v>100</v>
      </c>
      <c r="J3" s="50" t="s">
        <v>101</v>
      </c>
      <c r="K3" s="50" t="s">
        <v>95</v>
      </c>
      <c r="L3" s="49" t="s">
        <v>96</v>
      </c>
      <c r="M3" s="50" t="s">
        <v>97</v>
      </c>
      <c r="N3" s="50" t="s">
        <v>98</v>
      </c>
      <c r="O3" s="49" t="s">
        <v>99</v>
      </c>
      <c r="P3" s="50" t="s">
        <v>100</v>
      </c>
      <c r="Q3" s="50" t="s">
        <v>101</v>
      </c>
      <c r="R3" s="49" t="s">
        <v>95</v>
      </c>
      <c r="S3" s="50" t="s">
        <v>96</v>
      </c>
      <c r="T3" s="50" t="s">
        <v>97</v>
      </c>
      <c r="U3" s="49" t="s">
        <v>98</v>
      </c>
      <c r="V3" s="50" t="s">
        <v>99</v>
      </c>
      <c r="W3" s="50" t="s">
        <v>100</v>
      </c>
      <c r="X3" s="49" t="s">
        <v>101</v>
      </c>
      <c r="Y3" s="50" t="s">
        <v>95</v>
      </c>
      <c r="Z3" s="50" t="s">
        <v>96</v>
      </c>
      <c r="AA3" s="49" t="s">
        <v>97</v>
      </c>
      <c r="AB3" s="50" t="s">
        <v>98</v>
      </c>
      <c r="AC3" s="50" t="s">
        <v>99</v>
      </c>
      <c r="AD3" s="49" t="s">
        <v>100</v>
      </c>
      <c r="AE3" s="50" t="s">
        <v>101</v>
      </c>
      <c r="AF3" s="50" t="s">
        <v>95</v>
      </c>
      <c r="AG3" s="49" t="s">
        <v>96</v>
      </c>
      <c r="AH3" s="50" t="s">
        <v>97</v>
      </c>
      <c r="AI3" s="50" t="s">
        <v>98</v>
      </c>
      <c r="AJ3" s="49" t="s">
        <v>94</v>
      </c>
      <c r="AL3" s="180"/>
      <c r="AM3" s="180"/>
      <c r="AN3" s="180"/>
      <c r="AO3" s="180"/>
      <c r="AP3" s="180"/>
    </row>
    <row r="4" spans="2:42" ht="19.5" customHeight="1" thickBot="1" x14ac:dyDescent="0.3">
      <c r="B4" s="172"/>
      <c r="C4" s="172"/>
      <c r="D4" s="172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03" t="s">
        <v>94</v>
      </c>
      <c r="AL4" s="181"/>
      <c r="AM4" s="181"/>
      <c r="AN4" s="181"/>
      <c r="AO4" s="181"/>
      <c r="AP4" s="181"/>
    </row>
    <row r="5" spans="2:42" ht="18.75" x14ac:dyDescent="0.25">
      <c r="B5" s="37">
        <v>1</v>
      </c>
      <c r="C5" s="141" t="s">
        <v>158</v>
      </c>
      <c r="D5" s="141"/>
      <c r="F5" s="43" t="s">
        <v>203</v>
      </c>
      <c r="G5" s="43" t="s">
        <v>204</v>
      </c>
      <c r="H5" s="43" t="s">
        <v>204</v>
      </c>
      <c r="I5" s="43" t="s">
        <v>227</v>
      </c>
      <c r="J5" s="43" t="s">
        <v>228</v>
      </c>
      <c r="K5" s="43" t="s">
        <v>228</v>
      </c>
      <c r="L5" s="43" t="s">
        <v>228</v>
      </c>
      <c r="M5" s="43" t="s">
        <v>203</v>
      </c>
      <c r="N5" s="43" t="s">
        <v>203</v>
      </c>
      <c r="O5" s="43" t="s">
        <v>204</v>
      </c>
      <c r="P5" s="43" t="s">
        <v>204</v>
      </c>
      <c r="Q5" s="43" t="s">
        <v>227</v>
      </c>
      <c r="R5" s="43" t="s">
        <v>228</v>
      </c>
      <c r="S5" s="43" t="s">
        <v>228</v>
      </c>
      <c r="T5" s="43" t="s">
        <v>228</v>
      </c>
      <c r="U5" s="43" t="s">
        <v>203</v>
      </c>
      <c r="V5" s="43" t="s">
        <v>203</v>
      </c>
      <c r="W5" s="43" t="s">
        <v>204</v>
      </c>
      <c r="X5" s="43" t="s">
        <v>204</v>
      </c>
      <c r="Y5" s="43" t="s">
        <v>227</v>
      </c>
      <c r="Z5" s="43" t="s">
        <v>228</v>
      </c>
      <c r="AA5" s="43" t="s">
        <v>228</v>
      </c>
      <c r="AB5" s="43" t="s">
        <v>228</v>
      </c>
      <c r="AC5" s="43" t="s">
        <v>203</v>
      </c>
      <c r="AD5" s="43" t="s">
        <v>203</v>
      </c>
      <c r="AE5" s="43" t="s">
        <v>204</v>
      </c>
      <c r="AF5" s="43" t="s">
        <v>204</v>
      </c>
      <c r="AG5" s="43" t="s">
        <v>227</v>
      </c>
      <c r="AH5" s="43" t="s">
        <v>228</v>
      </c>
      <c r="AI5" s="43" t="s">
        <v>228</v>
      </c>
      <c r="AJ5" s="43"/>
      <c r="AL5" s="51">
        <f t="shared" ref="AL5:AL10" si="0">COUNTIF($F5:$AJ5,"ST*")</f>
        <v>0</v>
      </c>
      <c r="AM5" s="51">
        <f t="shared" ref="AM5:AM10" si="1">COUNTIF($F5:$AJ5,"M*")</f>
        <v>7</v>
      </c>
      <c r="AN5" s="51">
        <f t="shared" ref="AN5:AN10" si="2">COUNTIF($F5:$AJ5,"A*")</f>
        <v>8</v>
      </c>
      <c r="AO5" s="51">
        <f t="shared" ref="AO5:AO10" si="3">COUNTIF($F5:$AJ5,"N*")</f>
        <v>4</v>
      </c>
      <c r="AP5" s="51">
        <f t="shared" ref="AP5:AP10" si="4">COUNTIF($F5:$AJ5,"O*")</f>
        <v>11</v>
      </c>
    </row>
    <row r="6" spans="2:42" ht="18.75" x14ac:dyDescent="0.25">
      <c r="B6" s="37">
        <v>2</v>
      </c>
      <c r="C6" s="141" t="s">
        <v>159</v>
      </c>
      <c r="D6" s="141"/>
      <c r="F6" s="52" t="s">
        <v>229</v>
      </c>
      <c r="G6" s="52" t="s">
        <v>229</v>
      </c>
      <c r="H6" s="52" t="s">
        <v>228</v>
      </c>
      <c r="I6" s="52" t="s">
        <v>228</v>
      </c>
      <c r="J6" s="52" t="s">
        <v>203</v>
      </c>
      <c r="K6" s="52" t="s">
        <v>203</v>
      </c>
      <c r="L6" s="52" t="s">
        <v>204</v>
      </c>
      <c r="M6" s="52" t="s">
        <v>204</v>
      </c>
      <c r="N6" s="52" t="s">
        <v>227</v>
      </c>
      <c r="O6" s="52" t="s">
        <v>228</v>
      </c>
      <c r="P6" s="52" t="s">
        <v>228</v>
      </c>
      <c r="Q6" s="52" t="s">
        <v>228</v>
      </c>
      <c r="R6" s="52" t="s">
        <v>203</v>
      </c>
      <c r="S6" s="52" t="s">
        <v>203</v>
      </c>
      <c r="T6" s="52" t="s">
        <v>204</v>
      </c>
      <c r="U6" s="52" t="s">
        <v>204</v>
      </c>
      <c r="V6" s="52" t="s">
        <v>227</v>
      </c>
      <c r="W6" s="52" t="s">
        <v>228</v>
      </c>
      <c r="X6" s="52" t="s">
        <v>228</v>
      </c>
      <c r="Y6" s="52" t="s">
        <v>228</v>
      </c>
      <c r="Z6" s="52" t="s">
        <v>203</v>
      </c>
      <c r="AA6" s="52" t="s">
        <v>203</v>
      </c>
      <c r="AB6" s="52" t="s">
        <v>204</v>
      </c>
      <c r="AC6" s="52" t="s">
        <v>204</v>
      </c>
      <c r="AD6" s="52" t="s">
        <v>227</v>
      </c>
      <c r="AE6" s="52" t="s">
        <v>228</v>
      </c>
      <c r="AF6" s="52" t="s">
        <v>228</v>
      </c>
      <c r="AG6" s="52" t="s">
        <v>228</v>
      </c>
      <c r="AH6" s="52" t="s">
        <v>203</v>
      </c>
      <c r="AI6" s="52" t="s">
        <v>203</v>
      </c>
      <c r="AJ6" s="52"/>
      <c r="AL6" s="51">
        <f t="shared" si="0"/>
        <v>0</v>
      </c>
      <c r="AM6" s="51">
        <f t="shared" si="1"/>
        <v>8</v>
      </c>
      <c r="AN6" s="51">
        <f t="shared" si="2"/>
        <v>6</v>
      </c>
      <c r="AO6" s="51">
        <f t="shared" si="3"/>
        <v>3</v>
      </c>
      <c r="AP6" s="51">
        <f t="shared" si="4"/>
        <v>11</v>
      </c>
    </row>
    <row r="7" spans="2:42" ht="18.75" x14ac:dyDescent="0.25">
      <c r="B7" s="37">
        <v>3</v>
      </c>
      <c r="C7" s="141" t="s">
        <v>160</v>
      </c>
      <c r="D7" s="141"/>
      <c r="F7" s="52" t="s">
        <v>228</v>
      </c>
      <c r="G7" s="52" t="s">
        <v>228</v>
      </c>
      <c r="H7" s="52" t="s">
        <v>228</v>
      </c>
      <c r="I7" s="52" t="s">
        <v>203</v>
      </c>
      <c r="J7" s="52" t="s">
        <v>204</v>
      </c>
      <c r="K7" s="52" t="s">
        <v>204</v>
      </c>
      <c r="L7" s="52" t="s">
        <v>227</v>
      </c>
      <c r="M7" s="52" t="s">
        <v>227</v>
      </c>
      <c r="N7" s="52" t="s">
        <v>228</v>
      </c>
      <c r="O7" s="52" t="s">
        <v>228</v>
      </c>
      <c r="P7" s="52" t="s">
        <v>228</v>
      </c>
      <c r="Q7" s="52" t="s">
        <v>203</v>
      </c>
      <c r="R7" s="52" t="s">
        <v>204</v>
      </c>
      <c r="S7" s="52" t="s">
        <v>204</v>
      </c>
      <c r="T7" s="52" t="s">
        <v>227</v>
      </c>
      <c r="U7" s="52" t="s">
        <v>227</v>
      </c>
      <c r="V7" s="52" t="s">
        <v>228</v>
      </c>
      <c r="W7" s="52" t="s">
        <v>228</v>
      </c>
      <c r="X7" s="52" t="s">
        <v>228</v>
      </c>
      <c r="Y7" s="52" t="s">
        <v>203</v>
      </c>
      <c r="Z7" s="52" t="s">
        <v>204</v>
      </c>
      <c r="AA7" s="52" t="s">
        <v>204</v>
      </c>
      <c r="AB7" s="113" t="s">
        <v>227</v>
      </c>
      <c r="AC7" s="52" t="s">
        <v>227</v>
      </c>
      <c r="AD7" s="52" t="s">
        <v>228</v>
      </c>
      <c r="AE7" s="52" t="s">
        <v>228</v>
      </c>
      <c r="AF7" s="52" t="s">
        <v>228</v>
      </c>
      <c r="AG7" s="52" t="s">
        <v>203</v>
      </c>
      <c r="AH7" s="52" t="s">
        <v>204</v>
      </c>
      <c r="AI7" s="52" t="s">
        <v>204</v>
      </c>
      <c r="AJ7" s="52"/>
      <c r="AL7" s="51">
        <f t="shared" si="0"/>
        <v>0</v>
      </c>
      <c r="AM7" s="51">
        <f t="shared" si="1"/>
        <v>4</v>
      </c>
      <c r="AN7" s="51">
        <f t="shared" si="2"/>
        <v>8</v>
      </c>
      <c r="AO7" s="51">
        <f t="shared" si="3"/>
        <v>6</v>
      </c>
      <c r="AP7" s="51">
        <f t="shared" si="4"/>
        <v>12</v>
      </c>
    </row>
    <row r="8" spans="2:42" ht="18.75" x14ac:dyDescent="0.25">
      <c r="B8" s="37">
        <v>4</v>
      </c>
      <c r="C8" s="141" t="s">
        <v>161</v>
      </c>
      <c r="D8" s="141"/>
      <c r="F8" s="52" t="s">
        <v>204</v>
      </c>
      <c r="G8" s="52" t="s">
        <v>227</v>
      </c>
      <c r="H8" s="52" t="s">
        <v>227</v>
      </c>
      <c r="I8" s="52" t="s">
        <v>228</v>
      </c>
      <c r="J8" s="52" t="s">
        <v>228</v>
      </c>
      <c r="K8" s="52" t="s">
        <v>228</v>
      </c>
      <c r="L8" s="52" t="s">
        <v>203</v>
      </c>
      <c r="M8" s="52" t="s">
        <v>126</v>
      </c>
      <c r="N8" s="52" t="s">
        <v>204</v>
      </c>
      <c r="O8" s="52" t="s">
        <v>227</v>
      </c>
      <c r="P8" s="52" t="s">
        <v>227</v>
      </c>
      <c r="Q8" s="52" t="s">
        <v>228</v>
      </c>
      <c r="R8" s="52" t="s">
        <v>228</v>
      </c>
      <c r="S8" s="52" t="s">
        <v>228</v>
      </c>
      <c r="T8" s="52" t="s">
        <v>203</v>
      </c>
      <c r="U8" s="52" t="s">
        <v>203</v>
      </c>
      <c r="V8" s="52" t="s">
        <v>204</v>
      </c>
      <c r="W8" s="52" t="s">
        <v>227</v>
      </c>
      <c r="X8" s="52" t="s">
        <v>227</v>
      </c>
      <c r="Y8" s="52" t="s">
        <v>228</v>
      </c>
      <c r="Z8" s="52" t="s">
        <v>228</v>
      </c>
      <c r="AA8" s="52" t="s">
        <v>228</v>
      </c>
      <c r="AB8" s="52" t="s">
        <v>203</v>
      </c>
      <c r="AC8" s="52" t="s">
        <v>203</v>
      </c>
      <c r="AD8" s="52" t="s">
        <v>204</v>
      </c>
      <c r="AE8" s="52" t="s">
        <v>227</v>
      </c>
      <c r="AF8" s="52" t="s">
        <v>227</v>
      </c>
      <c r="AG8" s="52" t="s">
        <v>228</v>
      </c>
      <c r="AH8" s="52" t="s">
        <v>228</v>
      </c>
      <c r="AI8" s="52" t="s">
        <v>228</v>
      </c>
      <c r="AJ8" s="52"/>
      <c r="AL8" s="51">
        <f t="shared" si="0"/>
        <v>0</v>
      </c>
      <c r="AM8" s="51">
        <f t="shared" si="1"/>
        <v>5</v>
      </c>
      <c r="AN8" s="51">
        <f t="shared" si="2"/>
        <v>4</v>
      </c>
      <c r="AO8" s="51">
        <f t="shared" si="3"/>
        <v>8</v>
      </c>
      <c r="AP8" s="51">
        <f t="shared" si="4"/>
        <v>12</v>
      </c>
    </row>
    <row r="9" spans="2:42" ht="18.75" x14ac:dyDescent="0.25">
      <c r="B9" s="37">
        <v>5</v>
      </c>
      <c r="C9" s="141" t="s">
        <v>162</v>
      </c>
      <c r="D9" s="141"/>
      <c r="F9" s="52" t="s">
        <v>228</v>
      </c>
      <c r="G9" s="52" t="s">
        <v>203</v>
      </c>
      <c r="H9" s="52" t="s">
        <v>203</v>
      </c>
      <c r="I9" s="52" t="s">
        <v>204</v>
      </c>
      <c r="J9" s="52" t="s">
        <v>227</v>
      </c>
      <c r="K9" s="52" t="s">
        <v>227</v>
      </c>
      <c r="L9" s="52" t="s">
        <v>228</v>
      </c>
      <c r="M9" s="52" t="s">
        <v>228</v>
      </c>
      <c r="N9" s="52" t="s">
        <v>228</v>
      </c>
      <c r="O9" s="52" t="s">
        <v>203</v>
      </c>
      <c r="P9" s="52" t="s">
        <v>203</v>
      </c>
      <c r="Q9" s="52" t="s">
        <v>204</v>
      </c>
      <c r="R9" s="52" t="s">
        <v>227</v>
      </c>
      <c r="S9" s="52" t="s">
        <v>227</v>
      </c>
      <c r="T9" s="52" t="s">
        <v>228</v>
      </c>
      <c r="U9" s="52" t="s">
        <v>228</v>
      </c>
      <c r="V9" s="52" t="s">
        <v>228</v>
      </c>
      <c r="W9" s="52" t="s">
        <v>203</v>
      </c>
      <c r="X9" s="52" t="s">
        <v>203</v>
      </c>
      <c r="Y9" s="52" t="s">
        <v>204</v>
      </c>
      <c r="Z9" s="52" t="s">
        <v>227</v>
      </c>
      <c r="AA9" s="52" t="s">
        <v>227</v>
      </c>
      <c r="AB9" s="52" t="s">
        <v>228</v>
      </c>
      <c r="AC9" s="52" t="s">
        <v>228</v>
      </c>
      <c r="AD9" s="52" t="s">
        <v>228</v>
      </c>
      <c r="AE9" s="52" t="s">
        <v>203</v>
      </c>
      <c r="AF9" s="52" t="s">
        <v>203</v>
      </c>
      <c r="AG9" s="52" t="s">
        <v>204</v>
      </c>
      <c r="AH9" s="52" t="s">
        <v>227</v>
      </c>
      <c r="AI9" s="52" t="s">
        <v>227</v>
      </c>
      <c r="AJ9" s="52"/>
      <c r="AK9" s="102"/>
      <c r="AL9" s="51">
        <f t="shared" si="0"/>
        <v>0</v>
      </c>
      <c r="AM9" s="51">
        <f t="shared" si="1"/>
        <v>8</v>
      </c>
      <c r="AN9" s="51">
        <f t="shared" si="2"/>
        <v>4</v>
      </c>
      <c r="AO9" s="51">
        <f t="shared" si="3"/>
        <v>8</v>
      </c>
      <c r="AP9" s="51">
        <f t="shared" si="4"/>
        <v>10</v>
      </c>
    </row>
    <row r="10" spans="2:42" ht="19.5" thickBot="1" x14ac:dyDescent="0.3">
      <c r="B10" s="37">
        <v>6</v>
      </c>
      <c r="C10" s="141" t="s">
        <v>163</v>
      </c>
      <c r="D10" s="141"/>
      <c r="F10" s="61" t="s">
        <v>203</v>
      </c>
      <c r="G10" s="61" t="s">
        <v>203</v>
      </c>
      <c r="H10" s="61" t="s">
        <v>228</v>
      </c>
      <c r="I10" s="61" t="s">
        <v>228</v>
      </c>
      <c r="J10" s="61" t="s">
        <v>203</v>
      </c>
      <c r="K10" s="61" t="s">
        <v>203</v>
      </c>
      <c r="L10" s="61" t="s">
        <v>203</v>
      </c>
      <c r="M10" s="61" t="s">
        <v>203</v>
      </c>
      <c r="N10" s="61" t="s">
        <v>203</v>
      </c>
      <c r="O10" s="61" t="s">
        <v>228</v>
      </c>
      <c r="P10" s="61" t="s">
        <v>228</v>
      </c>
      <c r="Q10" s="61" t="s">
        <v>203</v>
      </c>
      <c r="R10" s="61" t="s">
        <v>203</v>
      </c>
      <c r="S10" s="61" t="s">
        <v>203</v>
      </c>
      <c r="T10" s="61" t="s">
        <v>203</v>
      </c>
      <c r="U10" s="61" t="s">
        <v>203</v>
      </c>
      <c r="V10" s="61" t="s">
        <v>228</v>
      </c>
      <c r="W10" s="61" t="s">
        <v>228</v>
      </c>
      <c r="X10" s="61" t="s">
        <v>203</v>
      </c>
      <c r="Y10" s="61" t="s">
        <v>203</v>
      </c>
      <c r="Z10" s="61" t="s">
        <v>203</v>
      </c>
      <c r="AA10" s="61" t="s">
        <v>203</v>
      </c>
      <c r="AB10" s="61" t="s">
        <v>203</v>
      </c>
      <c r="AC10" s="61" t="s">
        <v>228</v>
      </c>
      <c r="AD10" s="61" t="s">
        <v>228</v>
      </c>
      <c r="AE10" s="61" t="s">
        <v>203</v>
      </c>
      <c r="AF10" s="61" t="s">
        <v>203</v>
      </c>
      <c r="AG10" s="61" t="s">
        <v>203</v>
      </c>
      <c r="AH10" s="61" t="s">
        <v>203</v>
      </c>
      <c r="AI10" s="61" t="s">
        <v>203</v>
      </c>
      <c r="AJ10" s="61"/>
      <c r="AL10" s="51">
        <f t="shared" si="0"/>
        <v>0</v>
      </c>
      <c r="AM10" s="51">
        <f t="shared" si="1"/>
        <v>22</v>
      </c>
      <c r="AN10" s="51">
        <f t="shared" si="2"/>
        <v>0</v>
      </c>
      <c r="AO10" s="51">
        <f t="shared" si="3"/>
        <v>0</v>
      </c>
      <c r="AP10" s="51">
        <f t="shared" si="4"/>
        <v>8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71" t="s">
        <v>91</v>
      </c>
      <c r="D12" s="171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2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2</v>
      </c>
      <c r="AD12" s="37">
        <f t="shared" si="5"/>
        <v>1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0</v>
      </c>
    </row>
    <row r="13" spans="2:42" ht="18.75" x14ac:dyDescent="0.3">
      <c r="C13" s="171" t="s">
        <v>92</v>
      </c>
      <c r="D13" s="171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71" t="s">
        <v>72</v>
      </c>
      <c r="D14" s="171"/>
      <c r="E14" s="36"/>
      <c r="F14" s="37">
        <f>COUNTIF(F$5:F$9,"N*")</f>
        <v>0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0</v>
      </c>
    </row>
    <row r="15" spans="2:42" ht="18.75" x14ac:dyDescent="0.3">
      <c r="C15" s="171" t="s">
        <v>73</v>
      </c>
      <c r="D15" s="171"/>
      <c r="E15" s="36"/>
      <c r="F15" s="37">
        <f t="shared" ref="F15:AJ15" si="8">COUNTIF(F$5:F$10,"O*")</f>
        <v>2</v>
      </c>
      <c r="G15" s="37">
        <f t="shared" si="8"/>
        <v>1</v>
      </c>
      <c r="H15" s="37">
        <f t="shared" si="8"/>
        <v>3</v>
      </c>
      <c r="I15" s="37">
        <f t="shared" si="8"/>
        <v>3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1</v>
      </c>
      <c r="N15" s="37">
        <f t="shared" si="8"/>
        <v>2</v>
      </c>
      <c r="O15" s="37">
        <f t="shared" si="8"/>
        <v>3</v>
      </c>
      <c r="P15" s="37">
        <f t="shared" si="8"/>
        <v>3</v>
      </c>
      <c r="Q15" s="37">
        <f t="shared" si="8"/>
        <v>2</v>
      </c>
      <c r="R15" s="37">
        <f t="shared" si="8"/>
        <v>2</v>
      </c>
      <c r="S15" s="37">
        <f t="shared" si="8"/>
        <v>2</v>
      </c>
      <c r="T15" s="37">
        <f t="shared" si="8"/>
        <v>2</v>
      </c>
      <c r="U15" s="37">
        <f t="shared" si="8"/>
        <v>1</v>
      </c>
      <c r="V15" s="37">
        <f t="shared" si="8"/>
        <v>3</v>
      </c>
      <c r="W15" s="37">
        <f t="shared" si="8"/>
        <v>3</v>
      </c>
      <c r="X15" s="37">
        <f t="shared" si="8"/>
        <v>2</v>
      </c>
      <c r="Y15" s="37">
        <f t="shared" si="8"/>
        <v>2</v>
      </c>
      <c r="Z15" s="37">
        <f t="shared" si="8"/>
        <v>2</v>
      </c>
      <c r="AA15" s="37">
        <f t="shared" si="8"/>
        <v>2</v>
      </c>
      <c r="AB15" s="37">
        <f t="shared" si="8"/>
        <v>2</v>
      </c>
      <c r="AC15" s="37">
        <f t="shared" si="8"/>
        <v>2</v>
      </c>
      <c r="AD15" s="37">
        <f t="shared" si="8"/>
        <v>3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2</v>
      </c>
      <c r="AI15" s="37">
        <f t="shared" si="8"/>
        <v>2</v>
      </c>
      <c r="AJ15" s="37">
        <f t="shared" si="8"/>
        <v>0</v>
      </c>
    </row>
    <row r="16" spans="2:42" ht="18.75" x14ac:dyDescent="0.3">
      <c r="C16" s="167" t="s">
        <v>125</v>
      </c>
      <c r="D16" s="168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0</v>
      </c>
      <c r="L16" s="37">
        <f t="shared" si="9"/>
        <v>0</v>
      </c>
      <c r="M16" s="37">
        <f t="shared" si="9"/>
        <v>1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67" t="s">
        <v>106</v>
      </c>
      <c r="D17" s="168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69" t="s">
        <v>104</v>
      </c>
      <c r="D18" s="169"/>
      <c r="E18" s="38"/>
      <c r="F18" s="53">
        <f>F20-F21</f>
        <v>-1</v>
      </c>
      <c r="G18" s="53">
        <f t="shared" ref="G18:AJ18" si="11">G20-G21</f>
        <v>0</v>
      </c>
      <c r="H18" s="53">
        <f t="shared" si="11"/>
        <v>0</v>
      </c>
      <c r="I18" s="53">
        <f t="shared" si="11"/>
        <v>0</v>
      </c>
      <c r="J18" s="53">
        <f t="shared" si="11"/>
        <v>0</v>
      </c>
      <c r="K18" s="53">
        <f t="shared" si="11"/>
        <v>0</v>
      </c>
      <c r="L18" s="53">
        <f t="shared" si="11"/>
        <v>0</v>
      </c>
      <c r="M18" s="53">
        <f t="shared" si="11"/>
        <v>0</v>
      </c>
      <c r="N18" s="53">
        <f t="shared" si="11"/>
        <v>0</v>
      </c>
      <c r="O18" s="53">
        <f t="shared" si="11"/>
        <v>0</v>
      </c>
      <c r="P18" s="53">
        <f t="shared" si="11"/>
        <v>0</v>
      </c>
      <c r="Q18" s="53">
        <f t="shared" si="11"/>
        <v>0</v>
      </c>
      <c r="R18" s="53">
        <f t="shared" si="11"/>
        <v>0</v>
      </c>
      <c r="S18" s="53">
        <f t="shared" si="11"/>
        <v>0</v>
      </c>
      <c r="T18" s="53">
        <f t="shared" si="11"/>
        <v>0</v>
      </c>
      <c r="U18" s="53">
        <f t="shared" si="11"/>
        <v>1</v>
      </c>
      <c r="V18" s="53">
        <f t="shared" si="11"/>
        <v>0</v>
      </c>
      <c r="W18" s="53">
        <f t="shared" si="11"/>
        <v>0</v>
      </c>
      <c r="X18" s="53">
        <f t="shared" si="11"/>
        <v>0</v>
      </c>
      <c r="Y18" s="53">
        <f t="shared" si="11"/>
        <v>0</v>
      </c>
      <c r="Z18" s="53">
        <f t="shared" si="11"/>
        <v>0</v>
      </c>
      <c r="AA18" s="53">
        <f t="shared" si="11"/>
        <v>0</v>
      </c>
      <c r="AB18" s="53">
        <f t="shared" si="11"/>
        <v>0</v>
      </c>
      <c r="AC18" s="53">
        <f t="shared" si="11"/>
        <v>1</v>
      </c>
      <c r="AD18" s="53">
        <f t="shared" si="11"/>
        <v>0</v>
      </c>
      <c r="AE18" s="53">
        <f t="shared" si="11"/>
        <v>0</v>
      </c>
      <c r="AF18" s="53">
        <f t="shared" si="11"/>
        <v>0</v>
      </c>
      <c r="AG18" s="53">
        <f t="shared" si="11"/>
        <v>0</v>
      </c>
      <c r="AH18" s="53">
        <f t="shared" si="11"/>
        <v>0</v>
      </c>
      <c r="AI18" s="53">
        <f t="shared" si="11"/>
        <v>0</v>
      </c>
      <c r="AJ18" s="53">
        <f t="shared" si="11"/>
        <v>15</v>
      </c>
    </row>
    <row r="19" spans="3:36" ht="9.75" customHeight="1" x14ac:dyDescent="0.3">
      <c r="C19" s="40"/>
      <c r="D19" s="40"/>
      <c r="E19" s="36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</row>
    <row r="20" spans="3:36" ht="18.75" x14ac:dyDescent="0.3">
      <c r="C20" s="171" t="s">
        <v>102</v>
      </c>
      <c r="D20" s="171"/>
      <c r="E20" s="36"/>
      <c r="F20" s="41">
        <f>SUM(F12:F14)</f>
        <v>2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3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3</v>
      </c>
      <c r="N20" s="41">
        <f t="shared" si="12"/>
        <v>3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3</v>
      </c>
      <c r="T20" s="41">
        <f t="shared" si="12"/>
        <v>3</v>
      </c>
      <c r="U20" s="41">
        <f t="shared" si="12"/>
        <v>4</v>
      </c>
      <c r="V20" s="41">
        <f t="shared" si="12"/>
        <v>3</v>
      </c>
      <c r="W20" s="41">
        <f t="shared" si="12"/>
        <v>3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3</v>
      </c>
      <c r="AB20" s="41">
        <f t="shared" si="12"/>
        <v>3</v>
      </c>
      <c r="AC20" s="41">
        <f t="shared" si="12"/>
        <v>4</v>
      </c>
      <c r="AD20" s="41">
        <f t="shared" si="12"/>
        <v>3</v>
      </c>
      <c r="AE20" s="41">
        <f t="shared" si="12"/>
        <v>3</v>
      </c>
      <c r="AF20" s="41">
        <f t="shared" si="12"/>
        <v>3</v>
      </c>
      <c r="AG20" s="41">
        <f t="shared" si="12"/>
        <v>3</v>
      </c>
      <c r="AH20" s="41">
        <f t="shared" si="12"/>
        <v>3</v>
      </c>
      <c r="AI20" s="41">
        <f t="shared" si="12"/>
        <v>3</v>
      </c>
      <c r="AJ20" s="41">
        <v>18</v>
      </c>
    </row>
    <row r="21" spans="3:36" ht="18.75" x14ac:dyDescent="0.3">
      <c r="C21" s="171" t="s">
        <v>90</v>
      </c>
      <c r="D21" s="171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71" t="s">
        <v>103</v>
      </c>
      <c r="D22" s="171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6</v>
      </c>
      <c r="I22" s="37">
        <f t="shared" si="13"/>
        <v>6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4</v>
      </c>
      <c r="N22" s="37">
        <f t="shared" si="13"/>
        <v>5</v>
      </c>
      <c r="O22" s="37">
        <f t="shared" si="13"/>
        <v>6</v>
      </c>
      <c r="P22" s="37">
        <f t="shared" si="13"/>
        <v>6</v>
      </c>
      <c r="Q22" s="37">
        <f t="shared" si="13"/>
        <v>5</v>
      </c>
      <c r="R22" s="37">
        <f t="shared" si="13"/>
        <v>5</v>
      </c>
      <c r="S22" s="37">
        <f t="shared" si="13"/>
        <v>5</v>
      </c>
      <c r="T22" s="37">
        <f t="shared" si="13"/>
        <v>5</v>
      </c>
      <c r="U22" s="37">
        <f t="shared" si="13"/>
        <v>5</v>
      </c>
      <c r="V22" s="37">
        <f t="shared" si="13"/>
        <v>6</v>
      </c>
      <c r="W22" s="37">
        <f t="shared" si="13"/>
        <v>6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5</v>
      </c>
      <c r="AB22" s="37">
        <f t="shared" si="13"/>
        <v>5</v>
      </c>
      <c r="AC22" s="37">
        <f t="shared" si="13"/>
        <v>6</v>
      </c>
      <c r="AD22" s="37">
        <f t="shared" si="13"/>
        <v>6</v>
      </c>
      <c r="AE22" s="37">
        <f t="shared" si="13"/>
        <v>5</v>
      </c>
      <c r="AF22" s="37">
        <f t="shared" si="13"/>
        <v>5</v>
      </c>
      <c r="AG22" s="37">
        <f t="shared" si="13"/>
        <v>5</v>
      </c>
      <c r="AH22" s="37">
        <f t="shared" si="13"/>
        <v>5</v>
      </c>
      <c r="AI22" s="37">
        <f t="shared" si="13"/>
        <v>5</v>
      </c>
      <c r="AJ22" s="37">
        <v>35</v>
      </c>
    </row>
    <row r="23" spans="3:36" ht="16.5" thickBot="1" x14ac:dyDescent="0.3"/>
    <row r="24" spans="3:36" ht="16.5" thickBot="1" x14ac:dyDescent="0.3">
      <c r="F24" s="200" t="s">
        <v>206</v>
      </c>
      <c r="G24" s="201"/>
      <c r="H24" s="201"/>
      <c r="I24" s="201"/>
      <c r="J24" s="201"/>
      <c r="K24" s="202"/>
    </row>
    <row r="25" spans="3:36" x14ac:dyDescent="0.25">
      <c r="F25" s="66" t="s">
        <v>124</v>
      </c>
      <c r="G25" s="208" t="s">
        <v>202</v>
      </c>
      <c r="H25" s="209"/>
      <c r="I25" s="79" t="s">
        <v>203</v>
      </c>
      <c r="J25" s="80" t="s">
        <v>214</v>
      </c>
      <c r="K25" s="81"/>
    </row>
    <row r="26" spans="3:36" x14ac:dyDescent="0.25">
      <c r="F26" s="67" t="s">
        <v>118</v>
      </c>
      <c r="G26" s="210" t="s">
        <v>203</v>
      </c>
      <c r="H26" s="211"/>
      <c r="I26" s="79" t="s">
        <v>213</v>
      </c>
      <c r="J26" s="188" t="s">
        <v>215</v>
      </c>
      <c r="K26" s="195"/>
    </row>
    <row r="27" spans="3:36" x14ac:dyDescent="0.25">
      <c r="F27" s="68" t="s">
        <v>200</v>
      </c>
      <c r="G27" s="196" t="s">
        <v>204</v>
      </c>
      <c r="H27" s="212"/>
      <c r="I27" s="82" t="s">
        <v>209</v>
      </c>
      <c r="J27" s="203" t="s">
        <v>216</v>
      </c>
      <c r="K27" s="204"/>
    </row>
    <row r="28" spans="3:36" x14ac:dyDescent="0.25">
      <c r="F28" s="69" t="s">
        <v>201</v>
      </c>
      <c r="G28" s="198" t="s">
        <v>205</v>
      </c>
      <c r="H28" s="213"/>
      <c r="I28" s="26"/>
      <c r="J28" s="205"/>
      <c r="K28" s="206"/>
    </row>
    <row r="29" spans="3:36" x14ac:dyDescent="0.25">
      <c r="F29" s="70" t="s">
        <v>126</v>
      </c>
      <c r="G29" s="182" t="s">
        <v>208</v>
      </c>
      <c r="H29" s="218"/>
      <c r="I29" s="19"/>
      <c r="J29" s="214"/>
      <c r="K29" s="215"/>
    </row>
    <row r="30" spans="3:36" ht="16.5" thickBot="1" x14ac:dyDescent="0.3">
      <c r="F30" s="77"/>
      <c r="G30" s="219" t="s">
        <v>207</v>
      </c>
      <c r="H30" s="220"/>
      <c r="I30" s="78"/>
      <c r="J30" s="216"/>
      <c r="K30" s="217"/>
    </row>
    <row r="31" spans="3:36" x14ac:dyDescent="0.25">
      <c r="F31" s="76"/>
      <c r="G31" s="221"/>
      <c r="H31" s="221"/>
      <c r="I31" s="65"/>
      <c r="J31" s="207"/>
      <c r="K31" s="207"/>
    </row>
    <row r="32" spans="3:36" x14ac:dyDescent="0.25">
      <c r="F32" s="65"/>
      <c r="G32" s="207"/>
      <c r="H32" s="207"/>
      <c r="I32" s="65"/>
      <c r="J32" s="65"/>
      <c r="K32" s="65"/>
    </row>
    <row r="33" spans="6:11" x14ac:dyDescent="0.25">
      <c r="F33" s="65"/>
      <c r="G33" s="207"/>
      <c r="H33" s="207"/>
      <c r="I33" s="65"/>
      <c r="J33" s="65"/>
      <c r="K33" s="65"/>
    </row>
  </sheetData>
  <mergeCells count="40">
    <mergeCell ref="J29:K29"/>
    <mergeCell ref="J30:K30"/>
    <mergeCell ref="J31:K31"/>
    <mergeCell ref="G29:H29"/>
    <mergeCell ref="G30:H30"/>
    <mergeCell ref="G31:H31"/>
    <mergeCell ref="G32:H32"/>
    <mergeCell ref="G33:H33"/>
    <mergeCell ref="G25:H25"/>
    <mergeCell ref="G26:H26"/>
    <mergeCell ref="G27:H27"/>
    <mergeCell ref="G28:H2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22:D22"/>
    <mergeCell ref="C15:D15"/>
    <mergeCell ref="C16:D16"/>
    <mergeCell ref="C17:D17"/>
    <mergeCell ref="C18:D18"/>
    <mergeCell ref="C20:D20"/>
  </mergeCells>
  <phoneticPr fontId="14" type="noConversion"/>
  <conditionalFormatting sqref="F5:AJ10">
    <cfRule type="containsText" dxfId="150" priority="1" operator="containsText" text="LV">
      <formula>NOT(ISERROR(SEARCH("LV",F5)))</formula>
    </cfRule>
    <cfRule type="containsText" dxfId="149" priority="2" operator="containsText" text="STNN21">
      <formula>NOT(ISERROR(SEARCH("STNN21",F5)))</formula>
    </cfRule>
    <cfRule type="containsText" dxfId="148" priority="3" operator="containsText" text="STAN13">
      <formula>NOT(ISERROR(SEARCH("STAN13",F5)))</formula>
    </cfRule>
    <cfRule type="containsText" dxfId="147" priority="4" operator="containsText" text="STMN06">
      <formula>NOT(ISERROR(SEARCH("STMN06",F5)))</formula>
    </cfRule>
    <cfRule type="containsText" dxfId="146" priority="5" operator="containsText" text="MN12">
      <formula>NOT(ISERROR(SEARCH("MN12",F5)))</formula>
    </cfRule>
    <cfRule type="containsText" dxfId="145" priority="6" operator="containsText" text="TR">
      <formula>NOT(ISERROR(SEARCH("TR",F5)))</formula>
    </cfRule>
    <cfRule type="containsText" dxfId="144" priority="7" operator="containsText" text="OFF">
      <formula>NOT(ISERROR(SEARCH("OFF",F5)))</formula>
    </cfRule>
    <cfRule type="containsText" dxfId="143" priority="8" operator="containsText" text="NN21">
      <formula>NOT(ISERROR(SEARCH("NN21",F5)))</formula>
    </cfRule>
    <cfRule type="containsText" dxfId="142" priority="9" operator="containsText" text="AN13">
      <formula>NOT(ISERROR(SEARCH("AN13",F5)))</formula>
    </cfRule>
    <cfRule type="containsText" dxfId="141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I19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29" t="s">
        <v>232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L2" s="179" t="s">
        <v>111</v>
      </c>
      <c r="AM2" s="179" t="s">
        <v>112</v>
      </c>
      <c r="AN2" s="179" t="s">
        <v>115</v>
      </c>
      <c r="AO2" s="179" t="s">
        <v>113</v>
      </c>
      <c r="AP2" s="179" t="s">
        <v>114</v>
      </c>
    </row>
    <row r="3" spans="2:42" ht="39.75" thickBot="1" x14ac:dyDescent="0.3">
      <c r="B3" s="222" t="s">
        <v>105</v>
      </c>
      <c r="C3" s="223"/>
      <c r="D3" s="224"/>
      <c r="F3" s="107" t="s">
        <v>97</v>
      </c>
      <c r="G3" s="108" t="s">
        <v>98</v>
      </c>
      <c r="H3" s="108" t="s">
        <v>99</v>
      </c>
      <c r="I3" s="107" t="s">
        <v>100</v>
      </c>
      <c r="J3" s="108" t="s">
        <v>101</v>
      </c>
      <c r="K3" s="108" t="s">
        <v>95</v>
      </c>
      <c r="L3" s="107" t="s">
        <v>96</v>
      </c>
      <c r="M3" s="108" t="s">
        <v>97</v>
      </c>
      <c r="N3" s="108" t="s">
        <v>98</v>
      </c>
      <c r="O3" s="107" t="s">
        <v>99</v>
      </c>
      <c r="P3" s="108" t="s">
        <v>100</v>
      </c>
      <c r="Q3" s="108" t="s">
        <v>101</v>
      </c>
      <c r="R3" s="107" t="s">
        <v>95</v>
      </c>
      <c r="S3" s="108" t="s">
        <v>96</v>
      </c>
      <c r="T3" s="108" t="s">
        <v>97</v>
      </c>
      <c r="U3" s="107" t="s">
        <v>98</v>
      </c>
      <c r="V3" s="108" t="s">
        <v>99</v>
      </c>
      <c r="W3" s="108" t="s">
        <v>100</v>
      </c>
      <c r="X3" s="107" t="s">
        <v>101</v>
      </c>
      <c r="Y3" s="108" t="s">
        <v>95</v>
      </c>
      <c r="Z3" s="108" t="s">
        <v>96</v>
      </c>
      <c r="AA3" s="107" t="s">
        <v>97</v>
      </c>
      <c r="AB3" s="108" t="s">
        <v>98</v>
      </c>
      <c r="AC3" s="108" t="s">
        <v>99</v>
      </c>
      <c r="AD3" s="107" t="s">
        <v>100</v>
      </c>
      <c r="AE3" s="108" t="s">
        <v>101</v>
      </c>
      <c r="AF3" s="108" t="s">
        <v>95</v>
      </c>
      <c r="AG3" s="107" t="s">
        <v>96</v>
      </c>
      <c r="AH3" s="108" t="s">
        <v>97</v>
      </c>
      <c r="AI3" s="108" t="s">
        <v>98</v>
      </c>
      <c r="AJ3" s="108" t="s">
        <v>94</v>
      </c>
      <c r="AL3" s="180"/>
      <c r="AM3" s="180"/>
      <c r="AN3" s="180"/>
      <c r="AO3" s="180"/>
      <c r="AP3" s="180"/>
    </row>
    <row r="4" spans="2:42" ht="19.5" customHeight="1" thickBot="1" x14ac:dyDescent="0.3">
      <c r="B4" s="225"/>
      <c r="C4" s="226"/>
      <c r="D4" s="227"/>
      <c r="F4" s="104">
        <v>1</v>
      </c>
      <c r="G4" s="105">
        <v>2</v>
      </c>
      <c r="H4" s="105">
        <v>3</v>
      </c>
      <c r="I4" s="105">
        <v>4</v>
      </c>
      <c r="J4" s="105">
        <v>5</v>
      </c>
      <c r="K4" s="105">
        <v>6</v>
      </c>
      <c r="L4" s="105">
        <v>7</v>
      </c>
      <c r="M4" s="105">
        <v>8</v>
      </c>
      <c r="N4" s="105">
        <v>9</v>
      </c>
      <c r="O4" s="105">
        <v>10</v>
      </c>
      <c r="P4" s="105">
        <v>11</v>
      </c>
      <c r="Q4" s="105">
        <v>12</v>
      </c>
      <c r="R4" s="105">
        <v>13</v>
      </c>
      <c r="S4" s="105">
        <v>14</v>
      </c>
      <c r="T4" s="105">
        <v>15</v>
      </c>
      <c r="U4" s="105">
        <v>16</v>
      </c>
      <c r="V4" s="105">
        <v>17</v>
      </c>
      <c r="W4" s="105">
        <v>18</v>
      </c>
      <c r="X4" s="105">
        <v>19</v>
      </c>
      <c r="Y4" s="105">
        <v>20</v>
      </c>
      <c r="Z4" s="105">
        <v>21</v>
      </c>
      <c r="AA4" s="105">
        <v>22</v>
      </c>
      <c r="AB4" s="105">
        <v>23</v>
      </c>
      <c r="AC4" s="105">
        <v>24</v>
      </c>
      <c r="AD4" s="105">
        <v>25</v>
      </c>
      <c r="AE4" s="105">
        <v>26</v>
      </c>
      <c r="AF4" s="105">
        <v>27</v>
      </c>
      <c r="AG4" s="105">
        <v>28</v>
      </c>
      <c r="AH4" s="105">
        <v>29</v>
      </c>
      <c r="AI4" s="105">
        <v>30</v>
      </c>
      <c r="AJ4" s="106" t="s">
        <v>94</v>
      </c>
      <c r="AL4" s="181"/>
      <c r="AM4" s="181"/>
      <c r="AN4" s="181"/>
      <c r="AO4" s="181"/>
      <c r="AP4" s="181"/>
    </row>
    <row r="5" spans="2:42" ht="18.75" x14ac:dyDescent="0.25">
      <c r="B5" s="62">
        <v>1</v>
      </c>
      <c r="C5" s="230" t="s">
        <v>199</v>
      </c>
      <c r="D5" s="231"/>
      <c r="F5" s="43" t="s">
        <v>228</v>
      </c>
      <c r="G5" s="101" t="s">
        <v>203</v>
      </c>
      <c r="H5" s="100" t="s">
        <v>203</v>
      </c>
      <c r="I5" s="43" t="s">
        <v>203</v>
      </c>
      <c r="J5" s="43" t="s">
        <v>204</v>
      </c>
      <c r="K5" s="43" t="s">
        <v>227</v>
      </c>
      <c r="L5" s="43" t="s">
        <v>228</v>
      </c>
      <c r="M5" s="43" t="s">
        <v>228</v>
      </c>
      <c r="N5" s="43" t="s">
        <v>228</v>
      </c>
      <c r="O5" s="100" t="s">
        <v>229</v>
      </c>
      <c r="P5" s="100" t="s">
        <v>229</v>
      </c>
      <c r="Q5" s="43" t="s">
        <v>229</v>
      </c>
      <c r="R5" s="43" t="s">
        <v>229</v>
      </c>
      <c r="S5" s="43" t="s">
        <v>229</v>
      </c>
      <c r="T5" s="43" t="s">
        <v>229</v>
      </c>
      <c r="U5" s="43" t="s">
        <v>229</v>
      </c>
      <c r="V5" s="43" t="s">
        <v>229</v>
      </c>
      <c r="W5" s="100" t="s">
        <v>229</v>
      </c>
      <c r="X5" s="43" t="s">
        <v>229</v>
      </c>
      <c r="Y5" s="43" t="s">
        <v>229</v>
      </c>
      <c r="Z5" s="43" t="s">
        <v>229</v>
      </c>
      <c r="AA5" s="43" t="s">
        <v>229</v>
      </c>
      <c r="AB5" s="43" t="s">
        <v>229</v>
      </c>
      <c r="AC5" s="43" t="s">
        <v>228</v>
      </c>
      <c r="AD5" s="43" t="s">
        <v>228</v>
      </c>
      <c r="AE5" s="101" t="s">
        <v>126</v>
      </c>
      <c r="AF5" s="100" t="s">
        <v>203</v>
      </c>
      <c r="AG5" s="43" t="s">
        <v>203</v>
      </c>
      <c r="AH5" s="43" t="s">
        <v>204</v>
      </c>
      <c r="AI5" s="43" t="s">
        <v>227</v>
      </c>
      <c r="AJ5" s="43"/>
      <c r="AL5" s="51">
        <f>COUNTIF($F5:$AJ5,"ST*")</f>
        <v>0</v>
      </c>
      <c r="AM5" s="51">
        <f>COUNTIF($F5:$AJ5,"M*")</f>
        <v>5</v>
      </c>
      <c r="AN5" s="51">
        <f>COUNTIF($F5:$AJ5,"A*")</f>
        <v>2</v>
      </c>
      <c r="AO5" s="51">
        <f>COUNTIF($F5:$AJ5,"N*")</f>
        <v>2</v>
      </c>
      <c r="AP5" s="51">
        <f>COUNTIF($F5:$AJ5,"O*")</f>
        <v>6</v>
      </c>
    </row>
    <row r="6" spans="2:42" ht="18.75" x14ac:dyDescent="0.25">
      <c r="B6" s="59">
        <v>2</v>
      </c>
      <c r="C6" s="141" t="s">
        <v>188</v>
      </c>
      <c r="D6" s="228"/>
      <c r="F6" s="57" t="s">
        <v>203</v>
      </c>
      <c r="G6" s="52" t="s">
        <v>204</v>
      </c>
      <c r="H6" s="52" t="s">
        <v>204</v>
      </c>
      <c r="I6" s="52" t="s">
        <v>204</v>
      </c>
      <c r="J6" s="52" t="s">
        <v>227</v>
      </c>
      <c r="K6" s="52" t="s">
        <v>228</v>
      </c>
      <c r="L6" s="52" t="s">
        <v>228</v>
      </c>
      <c r="M6" s="52" t="s">
        <v>228</v>
      </c>
      <c r="N6" s="57" t="s">
        <v>203</v>
      </c>
      <c r="O6" s="57" t="s">
        <v>203</v>
      </c>
      <c r="P6" s="57" t="s">
        <v>204</v>
      </c>
      <c r="Q6" s="57" t="s">
        <v>204</v>
      </c>
      <c r="R6" s="57" t="s">
        <v>227</v>
      </c>
      <c r="S6" s="52" t="s">
        <v>228</v>
      </c>
      <c r="T6" s="52" t="s">
        <v>228</v>
      </c>
      <c r="U6" s="52" t="s">
        <v>228</v>
      </c>
      <c r="V6" s="57" t="s">
        <v>203</v>
      </c>
      <c r="W6" s="52" t="s">
        <v>203</v>
      </c>
      <c r="X6" s="52" t="s">
        <v>204</v>
      </c>
      <c r="Y6" s="52" t="s">
        <v>204</v>
      </c>
      <c r="Z6" s="52" t="s">
        <v>227</v>
      </c>
      <c r="AA6" s="52" t="s">
        <v>228</v>
      </c>
      <c r="AB6" s="52" t="s">
        <v>228</v>
      </c>
      <c r="AC6" s="52" t="s">
        <v>228</v>
      </c>
      <c r="AD6" s="57" t="s">
        <v>203</v>
      </c>
      <c r="AE6" s="52" t="s">
        <v>204</v>
      </c>
      <c r="AF6" s="52" t="s">
        <v>204</v>
      </c>
      <c r="AG6" s="52" t="s">
        <v>227</v>
      </c>
      <c r="AH6" s="52" t="s">
        <v>227</v>
      </c>
      <c r="AI6" s="52" t="s">
        <v>228</v>
      </c>
      <c r="AJ6" s="52"/>
      <c r="AL6" s="51">
        <f t="shared" ref="AL6:AL19" si="0">COUNTIF($F6:$AJ6,"ST*")</f>
        <v>0</v>
      </c>
      <c r="AM6" s="51">
        <f t="shared" ref="AM6:AM19" si="1">COUNTIF($F6:$AJ6,"M*")</f>
        <v>6</v>
      </c>
      <c r="AN6" s="51">
        <f t="shared" ref="AN6:AN19" si="2">COUNTIF($F6:$AJ6,"A*")</f>
        <v>9</v>
      </c>
      <c r="AO6" s="51">
        <f t="shared" ref="AO6:AO19" si="3">COUNTIF($F6:$AJ6,"N*")</f>
        <v>5</v>
      </c>
      <c r="AP6" s="51">
        <f t="shared" ref="AP6:AP19" si="4">COUNTIF($F6:$AJ6,"O*")</f>
        <v>10</v>
      </c>
    </row>
    <row r="7" spans="2:42" ht="18.75" x14ac:dyDescent="0.25">
      <c r="B7" s="59">
        <v>3</v>
      </c>
      <c r="C7" s="141" t="s">
        <v>189</v>
      </c>
      <c r="D7" s="228"/>
      <c r="F7" s="94" t="s">
        <v>204</v>
      </c>
      <c r="G7" s="52" t="s">
        <v>204</v>
      </c>
      <c r="H7" s="52" t="s">
        <v>227</v>
      </c>
      <c r="I7" s="52" t="s">
        <v>227</v>
      </c>
      <c r="J7" s="52" t="s">
        <v>228</v>
      </c>
      <c r="K7" s="52" t="s">
        <v>228</v>
      </c>
      <c r="L7" s="52" t="s">
        <v>228</v>
      </c>
      <c r="M7" s="57" t="s">
        <v>203</v>
      </c>
      <c r="N7" s="94" t="s">
        <v>203</v>
      </c>
      <c r="O7" s="52" t="s">
        <v>204</v>
      </c>
      <c r="P7" s="52" t="s">
        <v>204</v>
      </c>
      <c r="Q7" s="52" t="s">
        <v>227</v>
      </c>
      <c r="R7" s="52" t="s">
        <v>228</v>
      </c>
      <c r="S7" s="52" t="s">
        <v>228</v>
      </c>
      <c r="T7" s="52" t="s">
        <v>228</v>
      </c>
      <c r="U7" s="57" t="s">
        <v>203</v>
      </c>
      <c r="V7" s="94" t="s">
        <v>203</v>
      </c>
      <c r="W7" s="52" t="s">
        <v>204</v>
      </c>
      <c r="X7" s="52" t="s">
        <v>227</v>
      </c>
      <c r="Y7" s="52" t="s">
        <v>227</v>
      </c>
      <c r="Z7" s="52" t="s">
        <v>228</v>
      </c>
      <c r="AA7" s="52" t="s">
        <v>228</v>
      </c>
      <c r="AB7" s="52" t="s">
        <v>228</v>
      </c>
      <c r="AC7" s="57" t="s">
        <v>203</v>
      </c>
      <c r="AD7" s="94" t="s">
        <v>203</v>
      </c>
      <c r="AE7" s="52" t="s">
        <v>204</v>
      </c>
      <c r="AF7" s="52" t="s">
        <v>227</v>
      </c>
      <c r="AG7" s="52" t="s">
        <v>227</v>
      </c>
      <c r="AH7" s="52" t="s">
        <v>228</v>
      </c>
      <c r="AI7" s="52" t="s">
        <v>228</v>
      </c>
      <c r="AJ7" s="52"/>
      <c r="AL7" s="51">
        <f t="shared" si="0"/>
        <v>0</v>
      </c>
      <c r="AM7" s="51">
        <f t="shared" si="1"/>
        <v>6</v>
      </c>
      <c r="AN7" s="51">
        <f t="shared" si="2"/>
        <v>6</v>
      </c>
      <c r="AO7" s="51">
        <f t="shared" si="3"/>
        <v>7</v>
      </c>
      <c r="AP7" s="51">
        <f t="shared" si="4"/>
        <v>11</v>
      </c>
    </row>
    <row r="8" spans="2:42" ht="18.75" x14ac:dyDescent="0.25">
      <c r="B8" s="59">
        <v>4</v>
      </c>
      <c r="C8" s="141" t="s">
        <v>190</v>
      </c>
      <c r="D8" s="228"/>
      <c r="F8" s="52" t="s">
        <v>204</v>
      </c>
      <c r="G8" s="52" t="s">
        <v>227</v>
      </c>
      <c r="H8" s="52" t="s">
        <v>227</v>
      </c>
      <c r="I8" s="52" t="s">
        <v>228</v>
      </c>
      <c r="J8" s="52" t="s">
        <v>228</v>
      </c>
      <c r="K8" s="52" t="s">
        <v>228</v>
      </c>
      <c r="L8" s="57" t="s">
        <v>203</v>
      </c>
      <c r="M8" s="94" t="s">
        <v>126</v>
      </c>
      <c r="N8" s="52" t="s">
        <v>204</v>
      </c>
      <c r="O8" s="52" t="s">
        <v>204</v>
      </c>
      <c r="P8" s="52" t="s">
        <v>227</v>
      </c>
      <c r="Q8" s="52" t="s">
        <v>228</v>
      </c>
      <c r="R8" s="52" t="s">
        <v>228</v>
      </c>
      <c r="S8" s="52" t="s">
        <v>228</v>
      </c>
      <c r="T8" s="57" t="s">
        <v>203</v>
      </c>
      <c r="U8" s="94" t="s">
        <v>203</v>
      </c>
      <c r="V8" s="52" t="s">
        <v>204</v>
      </c>
      <c r="W8" s="52" t="s">
        <v>227</v>
      </c>
      <c r="X8" s="52" t="s">
        <v>227</v>
      </c>
      <c r="Y8" s="52" t="s">
        <v>228</v>
      </c>
      <c r="Z8" s="52" t="s">
        <v>228</v>
      </c>
      <c r="AA8" s="52" t="s">
        <v>228</v>
      </c>
      <c r="AB8" s="52" t="s">
        <v>203</v>
      </c>
      <c r="AC8" s="94" t="s">
        <v>203</v>
      </c>
      <c r="AD8" s="52" t="s">
        <v>204</v>
      </c>
      <c r="AE8" s="52" t="s">
        <v>227</v>
      </c>
      <c r="AF8" s="52" t="s">
        <v>227</v>
      </c>
      <c r="AG8" s="52" t="s">
        <v>228</v>
      </c>
      <c r="AH8" s="52" t="s">
        <v>228</v>
      </c>
      <c r="AI8" s="52" t="s">
        <v>228</v>
      </c>
      <c r="AJ8" s="52"/>
      <c r="AL8" s="51">
        <f t="shared" si="0"/>
        <v>0</v>
      </c>
      <c r="AM8" s="51">
        <f t="shared" si="1"/>
        <v>5</v>
      </c>
      <c r="AN8" s="51">
        <f t="shared" si="2"/>
        <v>5</v>
      </c>
      <c r="AO8" s="51">
        <f t="shared" si="3"/>
        <v>7</v>
      </c>
      <c r="AP8" s="51">
        <f t="shared" si="4"/>
        <v>12</v>
      </c>
    </row>
    <row r="9" spans="2:42" ht="18.75" x14ac:dyDescent="0.25">
      <c r="B9" s="59">
        <v>5</v>
      </c>
      <c r="C9" s="141" t="s">
        <v>191</v>
      </c>
      <c r="D9" s="228"/>
      <c r="F9" s="52" t="s">
        <v>204</v>
      </c>
      <c r="G9" s="52" t="s">
        <v>227</v>
      </c>
      <c r="H9" s="52" t="s">
        <v>228</v>
      </c>
      <c r="I9" s="52" t="s">
        <v>228</v>
      </c>
      <c r="J9" s="52" t="s">
        <v>228</v>
      </c>
      <c r="K9" s="57" t="s">
        <v>126</v>
      </c>
      <c r="L9" s="94" t="s">
        <v>203</v>
      </c>
      <c r="M9" s="52" t="s">
        <v>204</v>
      </c>
      <c r="N9" s="52" t="s">
        <v>204</v>
      </c>
      <c r="O9" s="52" t="s">
        <v>227</v>
      </c>
      <c r="P9" s="52" t="s">
        <v>228</v>
      </c>
      <c r="Q9" s="52" t="s">
        <v>228</v>
      </c>
      <c r="R9" s="52" t="s">
        <v>228</v>
      </c>
      <c r="S9" s="57" t="s">
        <v>203</v>
      </c>
      <c r="T9" s="94" t="s">
        <v>203</v>
      </c>
      <c r="U9" s="52" t="s">
        <v>204</v>
      </c>
      <c r="V9" s="52" t="s">
        <v>204</v>
      </c>
      <c r="W9" s="52" t="s">
        <v>227</v>
      </c>
      <c r="X9" s="52" t="s">
        <v>228</v>
      </c>
      <c r="Y9" s="52" t="s">
        <v>228</v>
      </c>
      <c r="Z9" s="52" t="s">
        <v>228</v>
      </c>
      <c r="AA9" s="57" t="s">
        <v>203</v>
      </c>
      <c r="AB9" s="94" t="s">
        <v>204</v>
      </c>
      <c r="AC9" s="52" t="s">
        <v>204</v>
      </c>
      <c r="AD9" s="52" t="s">
        <v>227</v>
      </c>
      <c r="AE9" s="52" t="s">
        <v>227</v>
      </c>
      <c r="AF9" s="52" t="s">
        <v>228</v>
      </c>
      <c r="AG9" s="52" t="s">
        <v>228</v>
      </c>
      <c r="AH9" s="52" t="s">
        <v>228</v>
      </c>
      <c r="AI9" s="57" t="s">
        <v>203</v>
      </c>
      <c r="AJ9" s="94"/>
      <c r="AL9" s="51">
        <f t="shared" si="0"/>
        <v>0</v>
      </c>
      <c r="AM9" s="51">
        <f t="shared" si="1"/>
        <v>5</v>
      </c>
      <c r="AN9" s="51">
        <f t="shared" si="2"/>
        <v>7</v>
      </c>
      <c r="AO9" s="51">
        <f t="shared" si="3"/>
        <v>5</v>
      </c>
      <c r="AP9" s="51">
        <f t="shared" si="4"/>
        <v>12</v>
      </c>
    </row>
    <row r="10" spans="2:42" ht="18.75" x14ac:dyDescent="0.25">
      <c r="B10" s="59">
        <v>6</v>
      </c>
      <c r="C10" s="141" t="s">
        <v>192</v>
      </c>
      <c r="D10" s="228"/>
      <c r="F10" s="52" t="s">
        <v>227</v>
      </c>
      <c r="G10" s="52" t="s">
        <v>228</v>
      </c>
      <c r="H10" s="52" t="s">
        <v>228</v>
      </c>
      <c r="I10" s="52" t="s">
        <v>228</v>
      </c>
      <c r="J10" s="94" t="s">
        <v>203</v>
      </c>
      <c r="K10" s="52" t="s">
        <v>204</v>
      </c>
      <c r="L10" s="52" t="s">
        <v>227</v>
      </c>
      <c r="M10" s="52" t="s">
        <v>227</v>
      </c>
      <c r="N10" s="52" t="s">
        <v>227</v>
      </c>
      <c r="O10" s="52" t="s">
        <v>228</v>
      </c>
      <c r="P10" s="52" t="s">
        <v>228</v>
      </c>
      <c r="Q10" s="52" t="s">
        <v>228</v>
      </c>
      <c r="R10" s="94" t="s">
        <v>203</v>
      </c>
      <c r="S10" s="52" t="s">
        <v>204</v>
      </c>
      <c r="T10" s="52" t="s">
        <v>204</v>
      </c>
      <c r="U10" s="52" t="s">
        <v>204</v>
      </c>
      <c r="V10" s="52" t="s">
        <v>227</v>
      </c>
      <c r="W10" s="52" t="s">
        <v>228</v>
      </c>
      <c r="X10" s="52" t="s">
        <v>228</v>
      </c>
      <c r="Y10" s="52" t="s">
        <v>228</v>
      </c>
      <c r="Z10" s="57" t="s">
        <v>203</v>
      </c>
      <c r="AA10" s="94" t="s">
        <v>203</v>
      </c>
      <c r="AB10" s="52" t="s">
        <v>204</v>
      </c>
      <c r="AC10" s="52" t="s">
        <v>204</v>
      </c>
      <c r="AD10" s="52" t="s">
        <v>227</v>
      </c>
      <c r="AE10" s="52" t="s">
        <v>228</v>
      </c>
      <c r="AF10" s="52" t="s">
        <v>228</v>
      </c>
      <c r="AG10" s="52" t="s">
        <v>228</v>
      </c>
      <c r="AH10" s="94" t="s">
        <v>203</v>
      </c>
      <c r="AI10" s="52" t="s">
        <v>204</v>
      </c>
      <c r="AJ10" s="52"/>
      <c r="AL10" s="51">
        <f t="shared" si="0"/>
        <v>0</v>
      </c>
      <c r="AM10" s="51">
        <f t="shared" si="1"/>
        <v>5</v>
      </c>
      <c r="AN10" s="51">
        <f t="shared" si="2"/>
        <v>7</v>
      </c>
      <c r="AO10" s="51">
        <f t="shared" si="3"/>
        <v>6</v>
      </c>
      <c r="AP10" s="51">
        <f t="shared" si="4"/>
        <v>12</v>
      </c>
    </row>
    <row r="11" spans="2:42" ht="18.75" x14ac:dyDescent="0.25">
      <c r="B11" s="59">
        <v>7</v>
      </c>
      <c r="C11" s="141" t="s">
        <v>193</v>
      </c>
      <c r="D11" s="228"/>
      <c r="F11" s="52" t="s">
        <v>228</v>
      </c>
      <c r="G11" s="52" t="s">
        <v>228</v>
      </c>
      <c r="H11" s="52" t="s">
        <v>228</v>
      </c>
      <c r="I11" s="94" t="s">
        <v>229</v>
      </c>
      <c r="J11" s="52" t="s">
        <v>229</v>
      </c>
      <c r="K11" s="52" t="s">
        <v>229</v>
      </c>
      <c r="L11" s="52" t="s">
        <v>229</v>
      </c>
      <c r="M11" s="52" t="s">
        <v>229</v>
      </c>
      <c r="N11" s="52" t="s">
        <v>229</v>
      </c>
      <c r="O11" s="52" t="s">
        <v>228</v>
      </c>
      <c r="P11" s="52" t="s">
        <v>228</v>
      </c>
      <c r="Q11" s="57" t="s">
        <v>203</v>
      </c>
      <c r="R11" s="57" t="s">
        <v>203</v>
      </c>
      <c r="S11" s="57" t="s">
        <v>204</v>
      </c>
      <c r="T11" s="57" t="s">
        <v>126</v>
      </c>
      <c r="U11" s="57" t="s">
        <v>126</v>
      </c>
      <c r="V11" s="52" t="s">
        <v>228</v>
      </c>
      <c r="W11" s="52" t="s">
        <v>228</v>
      </c>
      <c r="X11" s="52" t="s">
        <v>228</v>
      </c>
      <c r="Y11" s="57" t="s">
        <v>203</v>
      </c>
      <c r="Z11" s="94" t="s">
        <v>203</v>
      </c>
      <c r="AA11" s="52" t="s">
        <v>204</v>
      </c>
      <c r="AB11" s="52" t="s">
        <v>227</v>
      </c>
      <c r="AC11" s="52" t="s">
        <v>227</v>
      </c>
      <c r="AD11" s="52" t="s">
        <v>228</v>
      </c>
      <c r="AE11" s="52" t="s">
        <v>228</v>
      </c>
      <c r="AF11" s="52" t="s">
        <v>228</v>
      </c>
      <c r="AG11" s="94" t="s">
        <v>203</v>
      </c>
      <c r="AH11" s="52" t="s">
        <v>204</v>
      </c>
      <c r="AI11" s="57" t="s">
        <v>204</v>
      </c>
      <c r="AJ11" s="52"/>
      <c r="AL11" s="51">
        <f t="shared" si="0"/>
        <v>0</v>
      </c>
      <c r="AM11" s="51">
        <f t="shared" si="1"/>
        <v>5</v>
      </c>
      <c r="AN11" s="51">
        <f t="shared" si="2"/>
        <v>4</v>
      </c>
      <c r="AO11" s="51">
        <f t="shared" si="3"/>
        <v>2</v>
      </c>
      <c r="AP11" s="51">
        <f t="shared" si="4"/>
        <v>11</v>
      </c>
    </row>
    <row r="12" spans="2:42" ht="18.75" x14ac:dyDescent="0.25">
      <c r="B12" s="59">
        <v>8</v>
      </c>
      <c r="C12" s="141" t="s">
        <v>194</v>
      </c>
      <c r="D12" s="228"/>
      <c r="F12" s="52" t="s">
        <v>228</v>
      </c>
      <c r="G12" s="52" t="s">
        <v>228</v>
      </c>
      <c r="H12" s="57" t="s">
        <v>203</v>
      </c>
      <c r="I12" s="57" t="s">
        <v>203</v>
      </c>
      <c r="J12" s="57" t="s">
        <v>204</v>
      </c>
      <c r="K12" s="57" t="s">
        <v>204</v>
      </c>
      <c r="L12" s="57" t="s">
        <v>227</v>
      </c>
      <c r="M12" s="52" t="s">
        <v>228</v>
      </c>
      <c r="N12" s="52" t="s">
        <v>228</v>
      </c>
      <c r="O12" s="52" t="s">
        <v>228</v>
      </c>
      <c r="P12" s="94" t="s">
        <v>203</v>
      </c>
      <c r="Q12" s="94" t="s">
        <v>203</v>
      </c>
      <c r="R12" s="52" t="s">
        <v>204</v>
      </c>
      <c r="S12" s="52" t="s">
        <v>227</v>
      </c>
      <c r="T12" s="52" t="s">
        <v>227</v>
      </c>
      <c r="U12" s="52" t="s">
        <v>228</v>
      </c>
      <c r="V12" s="52" t="s">
        <v>228</v>
      </c>
      <c r="W12" s="52" t="s">
        <v>228</v>
      </c>
      <c r="X12" s="94" t="s">
        <v>203</v>
      </c>
      <c r="Y12" s="94" t="s">
        <v>203</v>
      </c>
      <c r="Z12" s="52" t="s">
        <v>204</v>
      </c>
      <c r="AA12" s="52" t="s">
        <v>227</v>
      </c>
      <c r="AB12" s="52" t="s">
        <v>227</v>
      </c>
      <c r="AC12" s="52" t="s">
        <v>228</v>
      </c>
      <c r="AD12" s="52" t="s">
        <v>228</v>
      </c>
      <c r="AE12" s="52" t="s">
        <v>228</v>
      </c>
      <c r="AF12" s="57" t="s">
        <v>203</v>
      </c>
      <c r="AG12" s="57" t="s">
        <v>204</v>
      </c>
      <c r="AH12" s="57" t="s">
        <v>204</v>
      </c>
      <c r="AI12" s="52" t="s">
        <v>227</v>
      </c>
      <c r="AJ12" s="52"/>
      <c r="AL12" s="51">
        <f t="shared" si="0"/>
        <v>0</v>
      </c>
      <c r="AM12" s="51">
        <f t="shared" si="1"/>
        <v>7</v>
      </c>
      <c r="AN12" s="51">
        <f t="shared" si="2"/>
        <v>6</v>
      </c>
      <c r="AO12" s="51">
        <f t="shared" si="3"/>
        <v>6</v>
      </c>
      <c r="AP12" s="51">
        <f t="shared" si="4"/>
        <v>11</v>
      </c>
    </row>
    <row r="13" spans="2:42" ht="18.75" x14ac:dyDescent="0.25">
      <c r="B13" s="59">
        <v>9</v>
      </c>
      <c r="C13" s="141" t="s">
        <v>195</v>
      </c>
      <c r="D13" s="228"/>
      <c r="F13" s="52" t="s">
        <v>228</v>
      </c>
      <c r="G13" s="57" t="s">
        <v>203</v>
      </c>
      <c r="H13" s="57" t="s">
        <v>203</v>
      </c>
      <c r="I13" s="57" t="s">
        <v>204</v>
      </c>
      <c r="J13" s="57" t="s">
        <v>204</v>
      </c>
      <c r="K13" s="57" t="s">
        <v>227</v>
      </c>
      <c r="L13" s="57" t="s">
        <v>228</v>
      </c>
      <c r="M13" s="57" t="s">
        <v>228</v>
      </c>
      <c r="N13" s="57" t="s">
        <v>228</v>
      </c>
      <c r="O13" s="57" t="s">
        <v>203</v>
      </c>
      <c r="P13" s="57" t="s">
        <v>203</v>
      </c>
      <c r="Q13" s="57" t="s">
        <v>204</v>
      </c>
      <c r="R13" s="57" t="s">
        <v>204</v>
      </c>
      <c r="S13" s="57" t="s">
        <v>227</v>
      </c>
      <c r="T13" s="52" t="s">
        <v>228</v>
      </c>
      <c r="U13" s="52" t="s">
        <v>228</v>
      </c>
      <c r="V13" s="52" t="s">
        <v>228</v>
      </c>
      <c r="W13" s="94" t="s">
        <v>203</v>
      </c>
      <c r="X13" s="94" t="s">
        <v>203</v>
      </c>
      <c r="Y13" s="52" t="s">
        <v>204</v>
      </c>
      <c r="Z13" s="52" t="s">
        <v>204</v>
      </c>
      <c r="AA13" s="52" t="s">
        <v>227</v>
      </c>
      <c r="AB13" s="52" t="s">
        <v>228</v>
      </c>
      <c r="AC13" s="52" t="s">
        <v>228</v>
      </c>
      <c r="AD13" s="52" t="s">
        <v>228</v>
      </c>
      <c r="AE13" s="57" t="s">
        <v>203</v>
      </c>
      <c r="AF13" s="57" t="s">
        <v>203</v>
      </c>
      <c r="AG13" s="57" t="s">
        <v>204</v>
      </c>
      <c r="AH13" s="57" t="s">
        <v>227</v>
      </c>
      <c r="AI13" s="57" t="s">
        <v>227</v>
      </c>
      <c r="AJ13" s="52"/>
      <c r="AL13" s="51">
        <f t="shared" si="0"/>
        <v>0</v>
      </c>
      <c r="AM13" s="51">
        <f t="shared" si="1"/>
        <v>8</v>
      </c>
      <c r="AN13" s="51">
        <f t="shared" si="2"/>
        <v>7</v>
      </c>
      <c r="AO13" s="51">
        <f t="shared" si="3"/>
        <v>5</v>
      </c>
      <c r="AP13" s="51">
        <f t="shared" si="4"/>
        <v>10</v>
      </c>
    </row>
    <row r="14" spans="2:42" ht="18.75" x14ac:dyDescent="0.25">
      <c r="B14" s="59">
        <v>10</v>
      </c>
      <c r="C14" s="141" t="s">
        <v>127</v>
      </c>
      <c r="D14" s="228"/>
      <c r="F14" s="57" t="s">
        <v>203</v>
      </c>
      <c r="G14" s="94" t="s">
        <v>203</v>
      </c>
      <c r="H14" s="94" t="s">
        <v>204</v>
      </c>
      <c r="I14" s="52" t="s">
        <v>204</v>
      </c>
      <c r="J14" s="52" t="s">
        <v>227</v>
      </c>
      <c r="K14" s="52" t="s">
        <v>228</v>
      </c>
      <c r="L14" s="52" t="s">
        <v>228</v>
      </c>
      <c r="M14" s="52" t="s">
        <v>228</v>
      </c>
      <c r="N14" s="57" t="s">
        <v>203</v>
      </c>
      <c r="O14" s="94" t="s">
        <v>203</v>
      </c>
      <c r="P14" s="52" t="s">
        <v>204</v>
      </c>
      <c r="Q14" s="52" t="s">
        <v>204</v>
      </c>
      <c r="R14" s="52" t="s">
        <v>227</v>
      </c>
      <c r="S14" s="52" t="s">
        <v>228</v>
      </c>
      <c r="T14" s="52" t="s">
        <v>228</v>
      </c>
      <c r="U14" s="52" t="s">
        <v>228</v>
      </c>
      <c r="V14" s="57" t="s">
        <v>203</v>
      </c>
      <c r="W14" s="52" t="s">
        <v>203</v>
      </c>
      <c r="X14" s="52" t="s">
        <v>204</v>
      </c>
      <c r="Y14" s="52" t="s">
        <v>227</v>
      </c>
      <c r="Z14" s="52" t="s">
        <v>227</v>
      </c>
      <c r="AA14" s="52" t="s">
        <v>228</v>
      </c>
      <c r="AB14" s="52" t="s">
        <v>228</v>
      </c>
      <c r="AC14" s="52" t="s">
        <v>228</v>
      </c>
      <c r="AD14" s="57" t="s">
        <v>203</v>
      </c>
      <c r="AE14" s="94" t="s">
        <v>203</v>
      </c>
      <c r="AF14" s="94" t="s">
        <v>204</v>
      </c>
      <c r="AG14" s="52" t="s">
        <v>204</v>
      </c>
      <c r="AH14" s="52" t="s">
        <v>227</v>
      </c>
      <c r="AI14" s="52" t="s">
        <v>228</v>
      </c>
      <c r="AJ14" s="52"/>
      <c r="AL14" s="51">
        <f t="shared" si="0"/>
        <v>0</v>
      </c>
      <c r="AM14" s="51">
        <f t="shared" si="1"/>
        <v>8</v>
      </c>
      <c r="AN14" s="51">
        <f t="shared" si="2"/>
        <v>7</v>
      </c>
      <c r="AO14" s="51">
        <f t="shared" si="3"/>
        <v>5</v>
      </c>
      <c r="AP14" s="51">
        <f t="shared" si="4"/>
        <v>10</v>
      </c>
    </row>
    <row r="15" spans="2:42" ht="18.75" x14ac:dyDescent="0.25">
      <c r="B15" s="59">
        <v>11</v>
      </c>
      <c r="C15" s="137" t="s">
        <v>129</v>
      </c>
      <c r="D15" s="234"/>
      <c r="F15" s="94" t="s">
        <v>203</v>
      </c>
      <c r="G15" s="94" t="s">
        <v>203</v>
      </c>
      <c r="H15" s="52" t="s">
        <v>204</v>
      </c>
      <c r="I15" s="52" t="s">
        <v>227</v>
      </c>
      <c r="J15" s="52" t="s">
        <v>228</v>
      </c>
      <c r="K15" s="52" t="s">
        <v>228</v>
      </c>
      <c r="L15" s="52" t="s">
        <v>228</v>
      </c>
      <c r="M15" s="57" t="s">
        <v>203</v>
      </c>
      <c r="N15" s="94" t="s">
        <v>204</v>
      </c>
      <c r="O15" s="52" t="s">
        <v>204</v>
      </c>
      <c r="P15" s="52" t="s">
        <v>227</v>
      </c>
      <c r="Q15" s="52" t="s">
        <v>227</v>
      </c>
      <c r="R15" s="52" t="s">
        <v>228</v>
      </c>
      <c r="S15" s="52" t="s">
        <v>228</v>
      </c>
      <c r="T15" s="52" t="s">
        <v>228</v>
      </c>
      <c r="U15" s="57" t="s">
        <v>203</v>
      </c>
      <c r="V15" s="94" t="s">
        <v>203</v>
      </c>
      <c r="W15" s="52" t="s">
        <v>204</v>
      </c>
      <c r="X15" s="52" t="s">
        <v>204</v>
      </c>
      <c r="Y15" s="52" t="s">
        <v>227</v>
      </c>
      <c r="Z15" s="52" t="s">
        <v>228</v>
      </c>
      <c r="AA15" s="52" t="s">
        <v>228</v>
      </c>
      <c r="AB15" s="52" t="s">
        <v>228</v>
      </c>
      <c r="AC15" s="94" t="s">
        <v>203</v>
      </c>
      <c r="AD15" s="94" t="s">
        <v>203</v>
      </c>
      <c r="AE15" s="94" t="s">
        <v>203</v>
      </c>
      <c r="AF15" s="52" t="s">
        <v>204</v>
      </c>
      <c r="AG15" s="52" t="s">
        <v>227</v>
      </c>
      <c r="AH15" s="52" t="s">
        <v>228</v>
      </c>
      <c r="AI15" s="52" t="s">
        <v>228</v>
      </c>
      <c r="AJ15" s="52"/>
      <c r="AL15" s="51">
        <f t="shared" si="0"/>
        <v>0</v>
      </c>
      <c r="AM15" s="51">
        <f t="shared" si="1"/>
        <v>8</v>
      </c>
      <c r="AN15" s="51">
        <f t="shared" si="2"/>
        <v>6</v>
      </c>
      <c r="AO15" s="51">
        <f t="shared" si="3"/>
        <v>5</v>
      </c>
      <c r="AP15" s="51">
        <f t="shared" si="4"/>
        <v>11</v>
      </c>
    </row>
    <row r="16" spans="2:42" ht="18.75" x14ac:dyDescent="0.25">
      <c r="B16" s="59">
        <v>12</v>
      </c>
      <c r="C16" s="137" t="s">
        <v>150</v>
      </c>
      <c r="D16" s="234"/>
      <c r="F16" s="57" t="s">
        <v>126</v>
      </c>
      <c r="G16" s="57" t="s">
        <v>204</v>
      </c>
      <c r="H16" s="57" t="s">
        <v>227</v>
      </c>
      <c r="I16" s="52" t="s">
        <v>228</v>
      </c>
      <c r="J16" s="52" t="s">
        <v>228</v>
      </c>
      <c r="K16" s="52" t="s">
        <v>228</v>
      </c>
      <c r="L16" s="57" t="s">
        <v>229</v>
      </c>
      <c r="M16" s="94" t="s">
        <v>229</v>
      </c>
      <c r="N16" s="52" t="s">
        <v>229</v>
      </c>
      <c r="O16" s="52" t="s">
        <v>229</v>
      </c>
      <c r="P16" s="52" t="s">
        <v>229</v>
      </c>
      <c r="Q16" s="52" t="s">
        <v>229</v>
      </c>
      <c r="R16" s="52" t="s">
        <v>228</v>
      </c>
      <c r="S16" s="52" t="s">
        <v>228</v>
      </c>
      <c r="T16" s="57" t="s">
        <v>203</v>
      </c>
      <c r="U16" s="94" t="s">
        <v>203</v>
      </c>
      <c r="V16" s="52" t="s">
        <v>204</v>
      </c>
      <c r="W16" s="52" t="s">
        <v>204</v>
      </c>
      <c r="X16" s="52" t="s">
        <v>227</v>
      </c>
      <c r="Y16" s="52" t="s">
        <v>228</v>
      </c>
      <c r="Z16" s="52" t="s">
        <v>228</v>
      </c>
      <c r="AA16" s="52" t="s">
        <v>228</v>
      </c>
      <c r="AB16" s="57" t="s">
        <v>203</v>
      </c>
      <c r="AC16" s="57" t="s">
        <v>203</v>
      </c>
      <c r="AD16" s="57" t="s">
        <v>204</v>
      </c>
      <c r="AE16" s="57" t="s">
        <v>204</v>
      </c>
      <c r="AF16" s="57" t="s">
        <v>227</v>
      </c>
      <c r="AG16" s="52" t="s">
        <v>228</v>
      </c>
      <c r="AH16" s="52" t="s">
        <v>228</v>
      </c>
      <c r="AI16" s="52" t="s">
        <v>228</v>
      </c>
      <c r="AJ16" s="52"/>
      <c r="AL16" s="51">
        <f>COUNTIF($F16:$AJ16,"ST*")</f>
        <v>0</v>
      </c>
      <c r="AM16" s="51">
        <f>COUNTIF($F16:$AJ16,"M*")</f>
        <v>4</v>
      </c>
      <c r="AN16" s="51">
        <f>COUNTIF($F16:$AJ16,"A*")</f>
        <v>5</v>
      </c>
      <c r="AO16" s="51">
        <f>COUNTIF($F16:$AJ16,"N*")</f>
        <v>3</v>
      </c>
      <c r="AP16" s="51">
        <f>COUNTIF($F16:$AJ16,"O*")</f>
        <v>11</v>
      </c>
    </row>
    <row r="17" spans="2:42" ht="18.75" x14ac:dyDescent="0.25">
      <c r="B17" s="59">
        <v>13</v>
      </c>
      <c r="C17" s="137" t="s">
        <v>196</v>
      </c>
      <c r="D17" s="234"/>
      <c r="F17" s="52" t="s">
        <v>227</v>
      </c>
      <c r="G17" s="52" t="s">
        <v>227</v>
      </c>
      <c r="H17" s="52" t="s">
        <v>228</v>
      </c>
      <c r="I17" s="52" t="s">
        <v>228</v>
      </c>
      <c r="J17" s="52" t="s">
        <v>228</v>
      </c>
      <c r="K17" s="94" t="s">
        <v>203</v>
      </c>
      <c r="L17" s="94" t="s">
        <v>126</v>
      </c>
      <c r="M17" s="52" t="s">
        <v>204</v>
      </c>
      <c r="N17" s="52" t="s">
        <v>227</v>
      </c>
      <c r="O17" s="52" t="s">
        <v>227</v>
      </c>
      <c r="P17" s="52" t="s">
        <v>228</v>
      </c>
      <c r="Q17" s="52" t="s">
        <v>228</v>
      </c>
      <c r="R17" s="52" t="s">
        <v>228</v>
      </c>
      <c r="S17" s="94" t="s">
        <v>203</v>
      </c>
      <c r="T17" s="94" t="s">
        <v>204</v>
      </c>
      <c r="U17" s="52" t="s">
        <v>204</v>
      </c>
      <c r="V17" s="52" t="s">
        <v>227</v>
      </c>
      <c r="W17" s="52" t="s">
        <v>227</v>
      </c>
      <c r="X17" s="52" t="s">
        <v>228</v>
      </c>
      <c r="Y17" s="52" t="s">
        <v>228</v>
      </c>
      <c r="Z17" s="52" t="s">
        <v>228</v>
      </c>
      <c r="AA17" s="57" t="s">
        <v>203</v>
      </c>
      <c r="AB17" s="94" t="s">
        <v>203</v>
      </c>
      <c r="AC17" s="52" t="s">
        <v>204</v>
      </c>
      <c r="AD17" s="52" t="s">
        <v>204</v>
      </c>
      <c r="AE17" s="52" t="s">
        <v>227</v>
      </c>
      <c r="AF17" s="52" t="s">
        <v>228</v>
      </c>
      <c r="AG17" s="52" t="s">
        <v>228</v>
      </c>
      <c r="AH17" s="52" t="s">
        <v>228</v>
      </c>
      <c r="AI17" s="94" t="s">
        <v>203</v>
      </c>
      <c r="AJ17" s="94"/>
      <c r="AL17" s="51">
        <f t="shared" si="0"/>
        <v>0</v>
      </c>
      <c r="AM17" s="51">
        <f t="shared" si="1"/>
        <v>5</v>
      </c>
      <c r="AN17" s="51">
        <f t="shared" si="2"/>
        <v>5</v>
      </c>
      <c r="AO17" s="51">
        <f t="shared" si="3"/>
        <v>7</v>
      </c>
      <c r="AP17" s="51">
        <f t="shared" si="4"/>
        <v>12</v>
      </c>
    </row>
    <row r="18" spans="2:42" ht="18.75" x14ac:dyDescent="0.25">
      <c r="B18" s="59">
        <v>14</v>
      </c>
      <c r="C18" s="137" t="s">
        <v>197</v>
      </c>
      <c r="D18" s="234"/>
      <c r="F18" s="52" t="s">
        <v>227</v>
      </c>
      <c r="G18" s="52" t="s">
        <v>228</v>
      </c>
      <c r="H18" s="52" t="s">
        <v>228</v>
      </c>
      <c r="I18" s="52" t="s">
        <v>228</v>
      </c>
      <c r="J18" s="94" t="s">
        <v>203</v>
      </c>
      <c r="K18" s="94" t="s">
        <v>203</v>
      </c>
      <c r="L18" s="52" t="s">
        <v>204</v>
      </c>
      <c r="M18" s="52" t="s">
        <v>227</v>
      </c>
      <c r="N18" s="52" t="s">
        <v>227</v>
      </c>
      <c r="O18" s="52" t="s">
        <v>228</v>
      </c>
      <c r="P18" s="52" t="s">
        <v>228</v>
      </c>
      <c r="Q18" s="52" t="s">
        <v>228</v>
      </c>
      <c r="R18" s="94" t="s">
        <v>203</v>
      </c>
      <c r="S18" s="94" t="s">
        <v>203</v>
      </c>
      <c r="T18" s="52" t="s">
        <v>204</v>
      </c>
      <c r="U18" s="52" t="s">
        <v>227</v>
      </c>
      <c r="V18" s="52" t="s">
        <v>227</v>
      </c>
      <c r="W18" s="52" t="s">
        <v>228</v>
      </c>
      <c r="X18" s="52" t="s">
        <v>228</v>
      </c>
      <c r="Y18" s="52" t="s">
        <v>228</v>
      </c>
      <c r="Z18" s="57" t="s">
        <v>203</v>
      </c>
      <c r="AA18" s="94" t="s">
        <v>204</v>
      </c>
      <c r="AB18" s="52" t="s">
        <v>204</v>
      </c>
      <c r="AC18" s="52" t="s">
        <v>227</v>
      </c>
      <c r="AD18" s="52" t="s">
        <v>227</v>
      </c>
      <c r="AE18" s="52" t="s">
        <v>228</v>
      </c>
      <c r="AF18" s="52" t="s">
        <v>228</v>
      </c>
      <c r="AG18" s="52" t="s">
        <v>228</v>
      </c>
      <c r="AH18" s="94" t="s">
        <v>203</v>
      </c>
      <c r="AI18" s="94" t="s">
        <v>203</v>
      </c>
      <c r="AJ18" s="52"/>
      <c r="AL18" s="51">
        <f t="shared" si="0"/>
        <v>0</v>
      </c>
      <c r="AM18" s="51">
        <f t="shared" si="1"/>
        <v>7</v>
      </c>
      <c r="AN18" s="51">
        <f t="shared" si="2"/>
        <v>4</v>
      </c>
      <c r="AO18" s="51">
        <f t="shared" si="3"/>
        <v>7</v>
      </c>
      <c r="AP18" s="51">
        <f t="shared" si="4"/>
        <v>12</v>
      </c>
    </row>
    <row r="19" spans="2:42" ht="19.5" thickBot="1" x14ac:dyDescent="0.3">
      <c r="B19" s="60">
        <v>15</v>
      </c>
      <c r="C19" s="232" t="s">
        <v>198</v>
      </c>
      <c r="D19" s="233"/>
      <c r="F19" s="116" t="s">
        <v>234</v>
      </c>
      <c r="G19" s="116" t="s">
        <v>234</v>
      </c>
      <c r="H19" s="116" t="s">
        <v>234</v>
      </c>
      <c r="I19" s="116" t="s">
        <v>203</v>
      </c>
      <c r="J19" s="116" t="s">
        <v>203</v>
      </c>
      <c r="K19" s="116" t="s">
        <v>204</v>
      </c>
      <c r="L19" s="116" t="s">
        <v>204</v>
      </c>
      <c r="M19" s="116" t="s">
        <v>227</v>
      </c>
      <c r="N19" s="116" t="s">
        <v>228</v>
      </c>
      <c r="O19" s="116" t="s">
        <v>228</v>
      </c>
      <c r="P19" s="116" t="s">
        <v>228</v>
      </c>
      <c r="Q19" s="116" t="s">
        <v>203</v>
      </c>
      <c r="R19" s="116" t="s">
        <v>204</v>
      </c>
      <c r="S19" s="116" t="s">
        <v>204</v>
      </c>
      <c r="T19" s="116" t="s">
        <v>227</v>
      </c>
      <c r="U19" s="116" t="s">
        <v>227</v>
      </c>
      <c r="V19" s="116" t="s">
        <v>228</v>
      </c>
      <c r="W19" s="116" t="s">
        <v>228</v>
      </c>
      <c r="X19" s="116" t="s">
        <v>228</v>
      </c>
      <c r="Y19" s="116" t="s">
        <v>203</v>
      </c>
      <c r="Z19" s="116" t="s">
        <v>204</v>
      </c>
      <c r="AA19" s="116" t="s">
        <v>126</v>
      </c>
      <c r="AB19" s="116" t="s">
        <v>227</v>
      </c>
      <c r="AC19" s="116" t="s">
        <v>227</v>
      </c>
      <c r="AD19" s="116" t="s">
        <v>228</v>
      </c>
      <c r="AE19" s="116" t="s">
        <v>228</v>
      </c>
      <c r="AF19" s="116" t="s">
        <v>228</v>
      </c>
      <c r="AG19" s="116" t="s">
        <v>203</v>
      </c>
      <c r="AH19" s="116" t="s">
        <v>203</v>
      </c>
      <c r="AI19" s="116" t="s">
        <v>204</v>
      </c>
      <c r="AJ19" s="61"/>
      <c r="AL19" s="51">
        <f t="shared" si="0"/>
        <v>0</v>
      </c>
      <c r="AM19" s="51">
        <f t="shared" si="1"/>
        <v>6</v>
      </c>
      <c r="AN19" s="51">
        <f t="shared" si="2"/>
        <v>6</v>
      </c>
      <c r="AO19" s="51">
        <f t="shared" si="3"/>
        <v>5</v>
      </c>
      <c r="AP19" s="51">
        <f t="shared" si="4"/>
        <v>9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71" t="s">
        <v>91</v>
      </c>
      <c r="D21" s="171"/>
      <c r="E21" s="36"/>
      <c r="F21" s="37">
        <f t="shared" ref="F21:AI21" si="5">COUNTIF(F$5:F$19,"M*")</f>
        <v>3</v>
      </c>
      <c r="G21" s="37">
        <f t="shared" si="5"/>
        <v>4</v>
      </c>
      <c r="H21" s="37">
        <f t="shared" si="5"/>
        <v>3</v>
      </c>
      <c r="I21" s="37">
        <f t="shared" si="5"/>
        <v>3</v>
      </c>
      <c r="J21" s="37">
        <f t="shared" si="5"/>
        <v>3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3</v>
      </c>
      <c r="O21" s="37">
        <f t="shared" si="5"/>
        <v>3</v>
      </c>
      <c r="P21" s="37">
        <f t="shared" si="5"/>
        <v>2</v>
      </c>
      <c r="Q21" s="37">
        <f t="shared" si="5"/>
        <v>3</v>
      </c>
      <c r="R21" s="37">
        <f t="shared" si="5"/>
        <v>3</v>
      </c>
      <c r="S21" s="37">
        <f t="shared" si="5"/>
        <v>3</v>
      </c>
      <c r="T21" s="37">
        <f t="shared" si="5"/>
        <v>3</v>
      </c>
      <c r="U21" s="37">
        <f t="shared" si="5"/>
        <v>4</v>
      </c>
      <c r="V21" s="37">
        <f t="shared" si="5"/>
        <v>4</v>
      </c>
      <c r="W21" s="37">
        <f t="shared" si="5"/>
        <v>3</v>
      </c>
      <c r="X21" s="37">
        <f t="shared" si="5"/>
        <v>2</v>
      </c>
      <c r="Y21" s="37">
        <f t="shared" si="5"/>
        <v>3</v>
      </c>
      <c r="Z21" s="37">
        <f t="shared" si="5"/>
        <v>3</v>
      </c>
      <c r="AA21" s="37">
        <f t="shared" si="5"/>
        <v>3</v>
      </c>
      <c r="AB21" s="37">
        <f t="shared" si="5"/>
        <v>3</v>
      </c>
      <c r="AC21" s="37">
        <f t="shared" si="5"/>
        <v>4</v>
      </c>
      <c r="AD21" s="37">
        <f t="shared" si="5"/>
        <v>4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3</v>
      </c>
      <c r="AI21" s="37">
        <f t="shared" si="5"/>
        <v>3</v>
      </c>
      <c r="AJ21" s="37" t="s">
        <v>94</v>
      </c>
    </row>
    <row r="22" spans="2:42" ht="18.75" x14ac:dyDescent="0.3">
      <c r="C22" s="171" t="s">
        <v>92</v>
      </c>
      <c r="D22" s="171"/>
      <c r="E22" s="36"/>
      <c r="F22" s="37">
        <f t="shared" ref="F22:AI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3</v>
      </c>
      <c r="J22" s="37">
        <f t="shared" si="6"/>
        <v>3</v>
      </c>
      <c r="K22" s="37">
        <f t="shared" si="6"/>
        <v>3</v>
      </c>
      <c r="L22" s="37">
        <f t="shared" si="6"/>
        <v>2</v>
      </c>
      <c r="M22" s="37">
        <f t="shared" si="6"/>
        <v>2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3</v>
      </c>
      <c r="S22" s="37">
        <f t="shared" si="6"/>
        <v>3</v>
      </c>
      <c r="T22" s="37">
        <f t="shared" si="6"/>
        <v>3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3</v>
      </c>
      <c r="Y22" s="37">
        <f t="shared" si="6"/>
        <v>2</v>
      </c>
      <c r="Z22" s="37">
        <f t="shared" si="6"/>
        <v>3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3</v>
      </c>
      <c r="AE22" s="37">
        <f t="shared" si="6"/>
        <v>3</v>
      </c>
      <c r="AF22" s="37">
        <f t="shared" si="6"/>
        <v>3</v>
      </c>
      <c r="AG22" s="37">
        <f t="shared" si="6"/>
        <v>3</v>
      </c>
      <c r="AH22" s="37">
        <f t="shared" si="6"/>
        <v>3</v>
      </c>
      <c r="AI22" s="37">
        <f t="shared" si="6"/>
        <v>3</v>
      </c>
      <c r="AJ22" s="37" t="s">
        <v>94</v>
      </c>
    </row>
    <row r="23" spans="2:42" ht="18.75" x14ac:dyDescent="0.3">
      <c r="C23" s="171" t="s">
        <v>72</v>
      </c>
      <c r="D23" s="171"/>
      <c r="E23" s="36"/>
      <c r="F23" s="37">
        <f t="shared" ref="F23:AI23" si="7">COUNTIF(F$5:F$19,"N*")</f>
        <v>3</v>
      </c>
      <c r="G23" s="37">
        <f t="shared" si="7"/>
        <v>3</v>
      </c>
      <c r="H23" s="37">
        <f t="shared" si="7"/>
        <v>3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3</v>
      </c>
      <c r="N23" s="37">
        <f t="shared" si="7"/>
        <v>3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3</v>
      </c>
      <c r="W23" s="37">
        <f t="shared" si="7"/>
        <v>3</v>
      </c>
      <c r="X23" s="37">
        <f t="shared" si="7"/>
        <v>3</v>
      </c>
      <c r="Y23" s="37">
        <f t="shared" si="7"/>
        <v>3</v>
      </c>
      <c r="Z23" s="37">
        <f t="shared" si="7"/>
        <v>2</v>
      </c>
      <c r="AA23" s="37">
        <f t="shared" si="7"/>
        <v>2</v>
      </c>
      <c r="AB23" s="37">
        <f t="shared" si="7"/>
        <v>3</v>
      </c>
      <c r="AC23" s="37">
        <f t="shared" si="7"/>
        <v>3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3</v>
      </c>
      <c r="AH23" s="37">
        <f t="shared" si="7"/>
        <v>3</v>
      </c>
      <c r="AI23" s="37">
        <f t="shared" si="7"/>
        <v>3</v>
      </c>
      <c r="AJ23" s="37" t="s">
        <v>94</v>
      </c>
    </row>
    <row r="24" spans="2:42" ht="18.75" x14ac:dyDescent="0.3">
      <c r="C24" s="171" t="s">
        <v>73</v>
      </c>
      <c r="D24" s="171"/>
      <c r="E24" s="36"/>
      <c r="F24" s="37">
        <f t="shared" ref="F24:AI24" si="8">COUNTIF(F$5:F$19,"O*")</f>
        <v>4</v>
      </c>
      <c r="G24" s="37">
        <f t="shared" si="8"/>
        <v>4</v>
      </c>
      <c r="H24" s="37">
        <f t="shared" si="8"/>
        <v>5</v>
      </c>
      <c r="I24" s="37">
        <f t="shared" si="8"/>
        <v>6</v>
      </c>
      <c r="J24" s="37">
        <f t="shared" si="8"/>
        <v>6</v>
      </c>
      <c r="K24" s="37">
        <f t="shared" si="8"/>
        <v>6</v>
      </c>
      <c r="L24" s="37">
        <f t="shared" si="8"/>
        <v>6</v>
      </c>
      <c r="M24" s="37">
        <f t="shared" si="8"/>
        <v>5</v>
      </c>
      <c r="N24" s="37">
        <f t="shared" si="8"/>
        <v>4</v>
      </c>
      <c r="O24" s="37">
        <f t="shared" si="8"/>
        <v>5</v>
      </c>
      <c r="P24" s="37">
        <f t="shared" si="8"/>
        <v>6</v>
      </c>
      <c r="Q24" s="37">
        <f t="shared" si="8"/>
        <v>5</v>
      </c>
      <c r="R24" s="37">
        <f t="shared" si="8"/>
        <v>6</v>
      </c>
      <c r="S24" s="37">
        <f t="shared" si="8"/>
        <v>6</v>
      </c>
      <c r="T24" s="37">
        <f t="shared" si="8"/>
        <v>5</v>
      </c>
      <c r="U24" s="37">
        <f t="shared" si="8"/>
        <v>4</v>
      </c>
      <c r="V24" s="37">
        <f t="shared" si="8"/>
        <v>4</v>
      </c>
      <c r="W24" s="37">
        <f t="shared" si="8"/>
        <v>5</v>
      </c>
      <c r="X24" s="37">
        <f t="shared" si="8"/>
        <v>6</v>
      </c>
      <c r="Y24" s="37">
        <f t="shared" si="8"/>
        <v>6</v>
      </c>
      <c r="Z24" s="37">
        <f t="shared" si="8"/>
        <v>6</v>
      </c>
      <c r="AA24" s="37">
        <f t="shared" si="8"/>
        <v>6</v>
      </c>
      <c r="AB24" s="37">
        <f t="shared" si="8"/>
        <v>5</v>
      </c>
      <c r="AC24" s="37">
        <f t="shared" si="8"/>
        <v>5</v>
      </c>
      <c r="AD24" s="37">
        <f t="shared" si="8"/>
        <v>5</v>
      </c>
      <c r="AE24" s="37">
        <f t="shared" si="8"/>
        <v>5</v>
      </c>
      <c r="AF24" s="37">
        <f t="shared" si="8"/>
        <v>6</v>
      </c>
      <c r="AG24" s="37">
        <f t="shared" si="8"/>
        <v>6</v>
      </c>
      <c r="AH24" s="37">
        <f t="shared" si="8"/>
        <v>6</v>
      </c>
      <c r="AI24" s="37">
        <f t="shared" si="8"/>
        <v>6</v>
      </c>
      <c r="AJ24" s="37" t="s">
        <v>94</v>
      </c>
    </row>
    <row r="25" spans="2:42" ht="18.75" x14ac:dyDescent="0.3">
      <c r="C25" s="167" t="s">
        <v>106</v>
      </c>
      <c r="D25" s="168"/>
      <c r="E25" s="36"/>
      <c r="F25" s="37">
        <f t="shared" ref="F25:AI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 t="s">
        <v>94</v>
      </c>
    </row>
    <row r="26" spans="2:42" ht="18.75" x14ac:dyDescent="0.3">
      <c r="C26" s="169" t="s">
        <v>104</v>
      </c>
      <c r="D26" s="169"/>
      <c r="E26" s="38"/>
      <c r="F26" s="54">
        <f>F28-F29</f>
        <v>3</v>
      </c>
      <c r="G26" s="54">
        <f t="shared" ref="G26:AI26" si="10">G28-G29</f>
        <v>4</v>
      </c>
      <c r="H26" s="54">
        <f t="shared" si="10"/>
        <v>3</v>
      </c>
      <c r="I26" s="54">
        <f t="shared" si="10"/>
        <v>2</v>
      </c>
      <c r="J26" s="54">
        <f t="shared" si="10"/>
        <v>2</v>
      </c>
      <c r="K26" s="54">
        <f t="shared" si="10"/>
        <v>1</v>
      </c>
      <c r="L26" s="54">
        <f t="shared" si="10"/>
        <v>0</v>
      </c>
      <c r="M26" s="54">
        <f t="shared" si="10"/>
        <v>1</v>
      </c>
      <c r="N26" s="54">
        <f t="shared" si="10"/>
        <v>3</v>
      </c>
      <c r="O26" s="54">
        <f t="shared" si="10"/>
        <v>2</v>
      </c>
      <c r="P26" s="54">
        <f t="shared" si="10"/>
        <v>1</v>
      </c>
      <c r="Q26" s="54">
        <f t="shared" si="10"/>
        <v>2</v>
      </c>
      <c r="R26" s="54">
        <f t="shared" si="10"/>
        <v>2</v>
      </c>
      <c r="S26" s="54">
        <f t="shared" si="10"/>
        <v>2</v>
      </c>
      <c r="T26" s="54">
        <f t="shared" si="10"/>
        <v>2</v>
      </c>
      <c r="U26" s="54">
        <f t="shared" si="10"/>
        <v>3</v>
      </c>
      <c r="V26" s="54">
        <f t="shared" si="10"/>
        <v>4</v>
      </c>
      <c r="W26" s="54">
        <f t="shared" si="10"/>
        <v>3</v>
      </c>
      <c r="X26" s="54">
        <f t="shared" si="10"/>
        <v>2</v>
      </c>
      <c r="Y26" s="54">
        <f t="shared" si="10"/>
        <v>2</v>
      </c>
      <c r="Z26" s="54">
        <f t="shared" si="10"/>
        <v>2</v>
      </c>
      <c r="AA26" s="54">
        <f t="shared" si="10"/>
        <v>1</v>
      </c>
      <c r="AB26" s="54">
        <f t="shared" si="10"/>
        <v>3</v>
      </c>
      <c r="AC26" s="54">
        <f t="shared" si="10"/>
        <v>4</v>
      </c>
      <c r="AD26" s="54">
        <f t="shared" si="10"/>
        <v>4</v>
      </c>
      <c r="AE26" s="54">
        <f t="shared" si="10"/>
        <v>3</v>
      </c>
      <c r="AF26" s="54">
        <f t="shared" si="10"/>
        <v>3</v>
      </c>
      <c r="AG26" s="54">
        <f t="shared" si="10"/>
        <v>3</v>
      </c>
      <c r="AH26" s="54">
        <f t="shared" si="10"/>
        <v>3</v>
      </c>
      <c r="AI26" s="54">
        <f t="shared" si="10"/>
        <v>3</v>
      </c>
      <c r="AJ26" s="54" t="s">
        <v>94</v>
      </c>
    </row>
    <row r="27" spans="2:42" ht="18.75" x14ac:dyDescent="0.3">
      <c r="C27" s="40"/>
      <c r="D27" s="40"/>
      <c r="E27" s="36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</row>
    <row r="28" spans="2:42" ht="18.75" x14ac:dyDescent="0.3">
      <c r="C28" s="171" t="s">
        <v>102</v>
      </c>
      <c r="D28" s="171"/>
      <c r="E28" s="36"/>
      <c r="F28" s="41">
        <f>SUM(F21:F23)</f>
        <v>9</v>
      </c>
      <c r="G28" s="41">
        <f t="shared" ref="G28:AI28" si="11">SUM(G21:G23)</f>
        <v>10</v>
      </c>
      <c r="H28" s="41">
        <f t="shared" si="11"/>
        <v>9</v>
      </c>
      <c r="I28" s="41">
        <f t="shared" si="11"/>
        <v>8</v>
      </c>
      <c r="J28" s="41">
        <f t="shared" si="11"/>
        <v>8</v>
      </c>
      <c r="K28" s="41">
        <f t="shared" si="11"/>
        <v>7</v>
      </c>
      <c r="L28" s="41">
        <f t="shared" si="11"/>
        <v>6</v>
      </c>
      <c r="M28" s="41">
        <f t="shared" si="11"/>
        <v>7</v>
      </c>
      <c r="N28" s="41">
        <f t="shared" si="11"/>
        <v>9</v>
      </c>
      <c r="O28" s="41">
        <f t="shared" si="11"/>
        <v>8</v>
      </c>
      <c r="P28" s="41">
        <f t="shared" si="11"/>
        <v>7</v>
      </c>
      <c r="Q28" s="41">
        <f t="shared" si="11"/>
        <v>8</v>
      </c>
      <c r="R28" s="41">
        <f t="shared" si="11"/>
        <v>8</v>
      </c>
      <c r="S28" s="41">
        <f t="shared" si="11"/>
        <v>8</v>
      </c>
      <c r="T28" s="41">
        <f t="shared" si="11"/>
        <v>8</v>
      </c>
      <c r="U28" s="41">
        <f t="shared" si="11"/>
        <v>9</v>
      </c>
      <c r="V28" s="41">
        <f t="shared" si="11"/>
        <v>10</v>
      </c>
      <c r="W28" s="41">
        <f t="shared" si="11"/>
        <v>9</v>
      </c>
      <c r="X28" s="41">
        <f t="shared" si="11"/>
        <v>8</v>
      </c>
      <c r="Y28" s="41">
        <f t="shared" si="11"/>
        <v>8</v>
      </c>
      <c r="Z28" s="41">
        <f t="shared" si="11"/>
        <v>8</v>
      </c>
      <c r="AA28" s="41">
        <f t="shared" si="11"/>
        <v>7</v>
      </c>
      <c r="AB28" s="41">
        <f t="shared" si="11"/>
        <v>9</v>
      </c>
      <c r="AC28" s="41">
        <f t="shared" si="11"/>
        <v>10</v>
      </c>
      <c r="AD28" s="41">
        <f t="shared" si="11"/>
        <v>10</v>
      </c>
      <c r="AE28" s="41">
        <f t="shared" si="11"/>
        <v>9</v>
      </c>
      <c r="AF28" s="41">
        <f t="shared" si="11"/>
        <v>9</v>
      </c>
      <c r="AG28" s="41">
        <f t="shared" si="11"/>
        <v>9</v>
      </c>
      <c r="AH28" s="41">
        <f t="shared" si="11"/>
        <v>9</v>
      </c>
      <c r="AI28" s="41">
        <f t="shared" si="11"/>
        <v>9</v>
      </c>
      <c r="AJ28" s="41" t="s">
        <v>94</v>
      </c>
    </row>
    <row r="29" spans="2:42" ht="18.75" x14ac:dyDescent="0.3">
      <c r="C29" s="171" t="s">
        <v>90</v>
      </c>
      <c r="D29" s="171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71" t="s">
        <v>103</v>
      </c>
      <c r="D30" s="171"/>
      <c r="E30" s="36"/>
      <c r="F30" s="37">
        <f>SUM(F21,F22,F23,F24,F25)</f>
        <v>13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14</v>
      </c>
      <c r="K30" s="37">
        <f t="shared" si="12"/>
        <v>13</v>
      </c>
      <c r="L30" s="37">
        <f t="shared" si="12"/>
        <v>12</v>
      </c>
      <c r="M30" s="37">
        <f t="shared" si="12"/>
        <v>12</v>
      </c>
      <c r="N30" s="37">
        <f t="shared" si="12"/>
        <v>13</v>
      </c>
      <c r="O30" s="37">
        <f t="shared" si="12"/>
        <v>13</v>
      </c>
      <c r="P30" s="37">
        <f t="shared" si="12"/>
        <v>13</v>
      </c>
      <c r="Q30" s="37">
        <f t="shared" si="12"/>
        <v>13</v>
      </c>
      <c r="R30" s="37">
        <f t="shared" si="12"/>
        <v>14</v>
      </c>
      <c r="S30" s="37">
        <f t="shared" si="12"/>
        <v>14</v>
      </c>
      <c r="T30" s="37">
        <f t="shared" si="12"/>
        <v>13</v>
      </c>
      <c r="U30" s="37">
        <f t="shared" si="12"/>
        <v>13</v>
      </c>
      <c r="V30" s="37">
        <f t="shared" si="12"/>
        <v>14</v>
      </c>
      <c r="W30" s="37">
        <f t="shared" si="12"/>
        <v>14</v>
      </c>
      <c r="X30" s="37">
        <f t="shared" si="12"/>
        <v>14</v>
      </c>
      <c r="Y30" s="37">
        <f t="shared" si="12"/>
        <v>14</v>
      </c>
      <c r="Z30" s="37">
        <f t="shared" si="12"/>
        <v>14</v>
      </c>
      <c r="AA30" s="37">
        <f t="shared" si="12"/>
        <v>13</v>
      </c>
      <c r="AB30" s="37">
        <f t="shared" si="12"/>
        <v>14</v>
      </c>
      <c r="AC30" s="37">
        <f t="shared" si="12"/>
        <v>15</v>
      </c>
      <c r="AD30" s="37">
        <f t="shared" si="12"/>
        <v>15</v>
      </c>
      <c r="AE30" s="37">
        <f t="shared" si="12"/>
        <v>14</v>
      </c>
      <c r="AF30" s="37">
        <f t="shared" si="12"/>
        <v>15</v>
      </c>
      <c r="AG30" s="37">
        <f t="shared" si="12"/>
        <v>15</v>
      </c>
      <c r="AH30" s="37">
        <f t="shared" si="12"/>
        <v>15</v>
      </c>
      <c r="AI30" s="37">
        <f t="shared" si="12"/>
        <v>15</v>
      </c>
      <c r="AJ30" s="37" t="s">
        <v>94</v>
      </c>
    </row>
    <row r="32" spans="2:42" ht="9.75" customHeight="1" thickBot="1" x14ac:dyDescent="0.3"/>
    <row r="33" spans="6:8" ht="16.5" thickBot="1" x14ac:dyDescent="0.3">
      <c r="F33" s="190" t="s">
        <v>206</v>
      </c>
      <c r="G33" s="191"/>
      <c r="H33" s="192"/>
    </row>
    <row r="34" spans="6:8" x14ac:dyDescent="0.25">
      <c r="F34" s="66" t="s">
        <v>124</v>
      </c>
      <c r="G34" s="193" t="s">
        <v>202</v>
      </c>
      <c r="H34" s="194"/>
    </row>
    <row r="35" spans="6:8" x14ac:dyDescent="0.25">
      <c r="F35" s="67" t="s">
        <v>118</v>
      </c>
      <c r="G35" s="210" t="s">
        <v>203</v>
      </c>
      <c r="H35" s="237"/>
    </row>
    <row r="36" spans="6:8" x14ac:dyDescent="0.25">
      <c r="F36" s="68" t="s">
        <v>200</v>
      </c>
      <c r="G36" s="196" t="s">
        <v>204</v>
      </c>
      <c r="H36" s="197"/>
    </row>
    <row r="37" spans="6:8" x14ac:dyDescent="0.25">
      <c r="F37" s="69" t="s">
        <v>201</v>
      </c>
      <c r="G37" s="198" t="s">
        <v>205</v>
      </c>
      <c r="H37" s="199"/>
    </row>
    <row r="38" spans="6:8" x14ac:dyDescent="0.25">
      <c r="F38" s="70" t="s">
        <v>126</v>
      </c>
      <c r="G38" s="182" t="s">
        <v>208</v>
      </c>
      <c r="H38" s="183"/>
    </row>
    <row r="39" spans="6:8" x14ac:dyDescent="0.25">
      <c r="F39" s="71"/>
      <c r="G39" s="184" t="s">
        <v>207</v>
      </c>
      <c r="H39" s="185"/>
    </row>
    <row r="40" spans="6:8" ht="16.5" thickBot="1" x14ac:dyDescent="0.3">
      <c r="F40" s="72" t="s">
        <v>209</v>
      </c>
      <c r="G40" s="235" t="s">
        <v>210</v>
      </c>
      <c r="H40" s="236"/>
    </row>
  </sheetData>
  <mergeCells count="40">
    <mergeCell ref="G38:H38"/>
    <mergeCell ref="G39:H39"/>
    <mergeCell ref="G40:H40"/>
    <mergeCell ref="F33:H33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</mergeCells>
  <phoneticPr fontId="14" type="noConversion"/>
  <conditionalFormatting sqref="F5:AJ19">
    <cfRule type="containsText" dxfId="140" priority="1" operator="containsText" text="STMN06">
      <formula>NOT(ISERROR(SEARCH("STMN06",F5)))</formula>
    </cfRule>
    <cfRule type="containsText" dxfId="139" priority="3" operator="containsText" text="STAN13">
      <formula>NOT(ISERROR(SEARCH("STAN13",F5)))</formula>
    </cfRule>
    <cfRule type="containsText" dxfId="138" priority="4" operator="containsText" text="TR">
      <formula>NOT(ISERROR(SEARCH("TR",F5)))</formula>
    </cfRule>
    <cfRule type="containsText" dxfId="137" priority="5" operator="containsText" text="LV">
      <formula>NOT(ISERROR(SEARCH("LV",F5)))</formula>
    </cfRule>
    <cfRule type="containsText" dxfId="136" priority="6" operator="containsText" text="AN13">
      <formula>NOT(ISERROR(SEARCH("AN13",F5)))</formula>
    </cfRule>
    <cfRule type="containsText" dxfId="135" priority="7" operator="containsText" text="AN13">
      <formula>NOT(ISERROR(SEARCH("AN13",F5)))</formula>
    </cfRule>
    <cfRule type="containsText" dxfId="134" priority="8" operator="containsText" text="AN13">
      <formula>NOT(ISERROR(SEARCH("AN13",F5)))</formula>
    </cfRule>
    <cfRule type="containsText" dxfId="133" priority="9" operator="containsText" text="MN06">
      <formula>NOT(ISERROR(SEARCH("MN06",F5)))</formula>
    </cfRule>
    <cfRule type="containsText" dxfId="132" priority="10" operator="containsText" text="STAN13">
      <formula>NOT(ISERROR(SEARCH("STAN13",F5)))</formula>
    </cfRule>
    <cfRule type="containsText" dxfId="131" priority="11" operator="containsText" text="STNN21">
      <formula>NOT(ISERROR(SEARCH("STNN21",F5)))</formula>
    </cfRule>
    <cfRule type="containsText" dxfId="130" priority="12" operator="containsText" text="NN21">
      <formula>NOT(ISERROR(SEARCH("NN21",F5)))</formula>
    </cfRule>
    <cfRule type="containsText" dxfId="129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8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M25" sqref="M2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76" t="s">
        <v>233</v>
      </c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8"/>
      <c r="AL2" s="179" t="s">
        <v>111</v>
      </c>
      <c r="AM2" s="179" t="s">
        <v>112</v>
      </c>
      <c r="AN2" s="179" t="s">
        <v>115</v>
      </c>
      <c r="AO2" s="179" t="s">
        <v>113</v>
      </c>
      <c r="AP2" s="179" t="s">
        <v>114</v>
      </c>
    </row>
    <row r="3" spans="2:42" ht="39.75" thickBot="1" x14ac:dyDescent="0.3">
      <c r="B3" s="172" t="s">
        <v>105</v>
      </c>
      <c r="C3" s="172"/>
      <c r="D3" s="172"/>
      <c r="F3" s="49" t="s">
        <v>97</v>
      </c>
      <c r="G3" s="50" t="s">
        <v>98</v>
      </c>
      <c r="H3" s="50" t="s">
        <v>99</v>
      </c>
      <c r="I3" s="49" t="s">
        <v>100</v>
      </c>
      <c r="J3" s="50" t="s">
        <v>101</v>
      </c>
      <c r="K3" s="50" t="s">
        <v>95</v>
      </c>
      <c r="L3" s="49" t="s">
        <v>96</v>
      </c>
      <c r="M3" s="50" t="s">
        <v>97</v>
      </c>
      <c r="N3" s="50" t="s">
        <v>98</v>
      </c>
      <c r="O3" s="49" t="s">
        <v>99</v>
      </c>
      <c r="P3" s="50" t="s">
        <v>100</v>
      </c>
      <c r="Q3" s="50" t="s">
        <v>101</v>
      </c>
      <c r="R3" s="49" t="s">
        <v>95</v>
      </c>
      <c r="S3" s="50" t="s">
        <v>96</v>
      </c>
      <c r="T3" s="50" t="s">
        <v>97</v>
      </c>
      <c r="U3" s="49" t="s">
        <v>98</v>
      </c>
      <c r="V3" s="50" t="s">
        <v>99</v>
      </c>
      <c r="W3" s="50" t="s">
        <v>100</v>
      </c>
      <c r="X3" s="49" t="s">
        <v>101</v>
      </c>
      <c r="Y3" s="50" t="s">
        <v>95</v>
      </c>
      <c r="Z3" s="50" t="s">
        <v>96</v>
      </c>
      <c r="AA3" s="49" t="s">
        <v>97</v>
      </c>
      <c r="AB3" s="50" t="s">
        <v>98</v>
      </c>
      <c r="AC3" s="50" t="s">
        <v>99</v>
      </c>
      <c r="AD3" s="49" t="s">
        <v>100</v>
      </c>
      <c r="AE3" s="50" t="s">
        <v>101</v>
      </c>
      <c r="AF3" s="50" t="s">
        <v>95</v>
      </c>
      <c r="AG3" s="49" t="s">
        <v>96</v>
      </c>
      <c r="AH3" s="50" t="s">
        <v>97</v>
      </c>
      <c r="AI3" s="50" t="s">
        <v>98</v>
      </c>
      <c r="AJ3" s="49" t="s">
        <v>94</v>
      </c>
      <c r="AL3" s="180"/>
      <c r="AM3" s="180"/>
      <c r="AN3" s="180"/>
      <c r="AO3" s="180"/>
      <c r="AP3" s="180"/>
    </row>
    <row r="4" spans="2:42" ht="19.5" customHeight="1" thickBot="1" x14ac:dyDescent="0.3">
      <c r="B4" s="172"/>
      <c r="C4" s="172"/>
      <c r="D4" s="172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03" t="s">
        <v>94</v>
      </c>
      <c r="AL4" s="181"/>
      <c r="AM4" s="181"/>
      <c r="AN4" s="181"/>
      <c r="AO4" s="181"/>
      <c r="AP4" s="181"/>
    </row>
    <row r="5" spans="2:42" ht="18.75" x14ac:dyDescent="0.25">
      <c r="B5" s="37">
        <v>1</v>
      </c>
      <c r="C5" s="141" t="s">
        <v>128</v>
      </c>
      <c r="D5" s="141"/>
      <c r="F5" s="43" t="s">
        <v>229</v>
      </c>
      <c r="G5" s="43" t="s">
        <v>229</v>
      </c>
      <c r="H5" s="43" t="s">
        <v>229</v>
      </c>
      <c r="I5" s="43" t="s">
        <v>229</v>
      </c>
      <c r="J5" s="43" t="s">
        <v>229</v>
      </c>
      <c r="K5" s="43" t="s">
        <v>229</v>
      </c>
      <c r="L5" s="43" t="s">
        <v>228</v>
      </c>
      <c r="M5" s="43" t="s">
        <v>228</v>
      </c>
      <c r="N5" s="43" t="s">
        <v>203</v>
      </c>
      <c r="O5" s="43" t="s">
        <v>203</v>
      </c>
      <c r="P5" s="43" t="s">
        <v>204</v>
      </c>
      <c r="Q5" s="43" t="s">
        <v>227</v>
      </c>
      <c r="R5" s="43" t="s">
        <v>227</v>
      </c>
      <c r="S5" s="43" t="s">
        <v>228</v>
      </c>
      <c r="T5" s="43" t="s">
        <v>228</v>
      </c>
      <c r="U5" s="43" t="s">
        <v>228</v>
      </c>
      <c r="V5" s="43" t="s">
        <v>203</v>
      </c>
      <c r="W5" s="43" t="s">
        <v>204</v>
      </c>
      <c r="X5" s="43" t="s">
        <v>204</v>
      </c>
      <c r="Y5" s="43" t="s">
        <v>227</v>
      </c>
      <c r="Z5" s="43" t="s">
        <v>227</v>
      </c>
      <c r="AA5" s="43" t="s">
        <v>228</v>
      </c>
      <c r="AB5" s="43" t="s">
        <v>228</v>
      </c>
      <c r="AC5" s="43" t="s">
        <v>228</v>
      </c>
      <c r="AD5" s="43" t="s">
        <v>203</v>
      </c>
      <c r="AE5" s="43" t="s">
        <v>204</v>
      </c>
      <c r="AF5" s="43" t="s">
        <v>204</v>
      </c>
      <c r="AG5" s="43" t="s">
        <v>227</v>
      </c>
      <c r="AH5" s="43" t="s">
        <v>227</v>
      </c>
      <c r="AI5" s="43" t="s">
        <v>228</v>
      </c>
      <c r="AJ5" s="43"/>
      <c r="AL5" s="51">
        <f t="shared" ref="AL5:AL38" si="0">COUNTIF($F5:$AJ5,"ST*")</f>
        <v>0</v>
      </c>
      <c r="AM5" s="51">
        <f t="shared" ref="AM5:AM38" si="1">COUNTIF($F5:$AJ5,"M*")</f>
        <v>4</v>
      </c>
      <c r="AN5" s="51">
        <f t="shared" ref="AN5:AN38" si="2">COUNTIF($F5:$AJ5,"A*")</f>
        <v>5</v>
      </c>
      <c r="AO5" s="51">
        <f t="shared" ref="AO5:AO38" si="3">COUNTIF($F5:$AJ5,"N*")</f>
        <v>6</v>
      </c>
      <c r="AP5" s="51">
        <f t="shared" ref="AP5:AP38" si="4">COUNTIF($F5:$AJ5,"O*")</f>
        <v>9</v>
      </c>
    </row>
    <row r="6" spans="2:42" ht="18.75" x14ac:dyDescent="0.25">
      <c r="B6" s="37">
        <v>2</v>
      </c>
      <c r="C6" s="141" t="s">
        <v>131</v>
      </c>
      <c r="D6" s="141"/>
      <c r="F6" s="52" t="s">
        <v>227</v>
      </c>
      <c r="G6" s="52" t="s">
        <v>227</v>
      </c>
      <c r="H6" s="52" t="s">
        <v>228</v>
      </c>
      <c r="I6" s="52" t="s">
        <v>228</v>
      </c>
      <c r="J6" s="52" t="s">
        <v>228</v>
      </c>
      <c r="K6" s="52" t="s">
        <v>203</v>
      </c>
      <c r="L6" s="52" t="s">
        <v>203</v>
      </c>
      <c r="M6" s="52" t="s">
        <v>204</v>
      </c>
      <c r="N6" s="52" t="s">
        <v>204</v>
      </c>
      <c r="O6" s="52" t="s">
        <v>227</v>
      </c>
      <c r="P6" s="52" t="s">
        <v>228</v>
      </c>
      <c r="Q6" s="52" t="s">
        <v>228</v>
      </c>
      <c r="R6" s="52" t="s">
        <v>228</v>
      </c>
      <c r="S6" s="52" t="s">
        <v>203</v>
      </c>
      <c r="T6" s="52" t="s">
        <v>203</v>
      </c>
      <c r="U6" s="52" t="s">
        <v>204</v>
      </c>
      <c r="V6" s="52" t="s">
        <v>204</v>
      </c>
      <c r="W6" s="52" t="s">
        <v>227</v>
      </c>
      <c r="X6" s="52" t="s">
        <v>228</v>
      </c>
      <c r="Y6" s="52" t="s">
        <v>228</v>
      </c>
      <c r="Z6" s="52" t="s">
        <v>228</v>
      </c>
      <c r="AA6" s="52" t="s">
        <v>203</v>
      </c>
      <c r="AB6" s="52" t="s">
        <v>203</v>
      </c>
      <c r="AC6" s="52" t="s">
        <v>204</v>
      </c>
      <c r="AD6" s="52" t="s">
        <v>227</v>
      </c>
      <c r="AE6" s="52" t="s">
        <v>227</v>
      </c>
      <c r="AF6" s="52" t="s">
        <v>228</v>
      </c>
      <c r="AG6" s="52" t="s">
        <v>228</v>
      </c>
      <c r="AH6" s="52" t="s">
        <v>228</v>
      </c>
      <c r="AI6" s="52" t="s">
        <v>203</v>
      </c>
      <c r="AJ6" s="52"/>
      <c r="AL6" s="51">
        <f t="shared" si="0"/>
        <v>0</v>
      </c>
      <c r="AM6" s="51">
        <f t="shared" si="1"/>
        <v>7</v>
      </c>
      <c r="AN6" s="51">
        <f t="shared" si="2"/>
        <v>5</v>
      </c>
      <c r="AO6" s="51">
        <f t="shared" si="3"/>
        <v>6</v>
      </c>
      <c r="AP6" s="51">
        <f t="shared" si="4"/>
        <v>12</v>
      </c>
    </row>
    <row r="7" spans="2:42" ht="18.75" x14ac:dyDescent="0.25">
      <c r="B7" s="37">
        <v>3</v>
      </c>
      <c r="C7" s="141" t="s">
        <v>132</v>
      </c>
      <c r="D7" s="141"/>
      <c r="F7" s="52" t="s">
        <v>126</v>
      </c>
      <c r="G7" s="52" t="s">
        <v>228</v>
      </c>
      <c r="H7" s="52" t="s">
        <v>228</v>
      </c>
      <c r="I7" s="52" t="s">
        <v>228</v>
      </c>
      <c r="J7" s="52" t="s">
        <v>203</v>
      </c>
      <c r="K7" s="52" t="s">
        <v>204</v>
      </c>
      <c r="L7" s="52" t="s">
        <v>204</v>
      </c>
      <c r="M7" s="52" t="s">
        <v>227</v>
      </c>
      <c r="N7" s="52" t="s">
        <v>227</v>
      </c>
      <c r="O7" s="52" t="s">
        <v>228</v>
      </c>
      <c r="P7" s="52" t="s">
        <v>228</v>
      </c>
      <c r="Q7" s="52" t="s">
        <v>228</v>
      </c>
      <c r="R7" s="52" t="s">
        <v>203</v>
      </c>
      <c r="S7" s="52" t="s">
        <v>204</v>
      </c>
      <c r="T7" s="52" t="s">
        <v>204</v>
      </c>
      <c r="U7" s="52" t="s">
        <v>227</v>
      </c>
      <c r="V7" s="52" t="s">
        <v>227</v>
      </c>
      <c r="W7" s="52" t="s">
        <v>228</v>
      </c>
      <c r="X7" s="52" t="s">
        <v>228</v>
      </c>
      <c r="Y7" s="52" t="s">
        <v>228</v>
      </c>
      <c r="Z7" s="52" t="s">
        <v>203</v>
      </c>
      <c r="AA7" s="52" t="s">
        <v>203</v>
      </c>
      <c r="AB7" s="52" t="s">
        <v>204</v>
      </c>
      <c r="AC7" s="52" t="s">
        <v>204</v>
      </c>
      <c r="AD7" s="52" t="s">
        <v>227</v>
      </c>
      <c r="AE7" s="52" t="s">
        <v>228</v>
      </c>
      <c r="AF7" s="52" t="s">
        <v>228</v>
      </c>
      <c r="AG7" s="52" t="s">
        <v>228</v>
      </c>
      <c r="AH7" s="52" t="s">
        <v>203</v>
      </c>
      <c r="AI7" s="52" t="s">
        <v>203</v>
      </c>
      <c r="AJ7" s="52"/>
      <c r="AL7" s="51">
        <f t="shared" si="0"/>
        <v>0</v>
      </c>
      <c r="AM7" s="51">
        <f t="shared" si="1"/>
        <v>6</v>
      </c>
      <c r="AN7" s="51">
        <f t="shared" si="2"/>
        <v>6</v>
      </c>
      <c r="AO7" s="51">
        <f t="shared" si="3"/>
        <v>5</v>
      </c>
      <c r="AP7" s="51">
        <f t="shared" si="4"/>
        <v>12</v>
      </c>
    </row>
    <row r="8" spans="2:42" ht="18.75" x14ac:dyDescent="0.25">
      <c r="B8" s="37">
        <v>4</v>
      </c>
      <c r="C8" s="141" t="s">
        <v>133</v>
      </c>
      <c r="D8" s="141"/>
      <c r="F8" s="52" t="s">
        <v>229</v>
      </c>
      <c r="G8" s="52" t="s">
        <v>228</v>
      </c>
      <c r="H8" s="52" t="s">
        <v>228</v>
      </c>
      <c r="I8" s="52" t="s">
        <v>203</v>
      </c>
      <c r="J8" s="52" t="s">
        <v>203</v>
      </c>
      <c r="K8" s="52" t="s">
        <v>204</v>
      </c>
      <c r="L8" s="52" t="s">
        <v>227</v>
      </c>
      <c r="M8" s="52" t="s">
        <v>227</v>
      </c>
      <c r="N8" s="52" t="s">
        <v>228</v>
      </c>
      <c r="O8" s="52" t="s">
        <v>228</v>
      </c>
      <c r="P8" s="52" t="s">
        <v>228</v>
      </c>
      <c r="Q8" s="57" t="s">
        <v>203</v>
      </c>
      <c r="R8" s="57" t="s">
        <v>203</v>
      </c>
      <c r="S8" s="57" t="s">
        <v>204</v>
      </c>
      <c r="T8" s="57" t="s">
        <v>227</v>
      </c>
      <c r="U8" s="57" t="s">
        <v>227</v>
      </c>
      <c r="V8" s="57" t="s">
        <v>228</v>
      </c>
      <c r="W8" s="57" t="s">
        <v>228</v>
      </c>
      <c r="X8" s="57" t="s">
        <v>228</v>
      </c>
      <c r="Y8" s="52" t="s">
        <v>203</v>
      </c>
      <c r="Z8" s="52" t="s">
        <v>203</v>
      </c>
      <c r="AA8" s="52" t="s">
        <v>204</v>
      </c>
      <c r="AB8" s="52" t="s">
        <v>227</v>
      </c>
      <c r="AC8" s="52" t="s">
        <v>227</v>
      </c>
      <c r="AD8" s="52" t="s">
        <v>228</v>
      </c>
      <c r="AE8" s="52" t="s">
        <v>228</v>
      </c>
      <c r="AF8" s="52" t="s">
        <v>228</v>
      </c>
      <c r="AG8" s="52" t="s">
        <v>203</v>
      </c>
      <c r="AH8" s="52" t="s">
        <v>203</v>
      </c>
      <c r="AI8" s="52" t="s">
        <v>204</v>
      </c>
      <c r="AJ8" s="52"/>
      <c r="AL8" s="51">
        <f t="shared" si="0"/>
        <v>0</v>
      </c>
      <c r="AM8" s="51">
        <f t="shared" si="1"/>
        <v>8</v>
      </c>
      <c r="AN8" s="51">
        <f t="shared" si="2"/>
        <v>4</v>
      </c>
      <c r="AO8" s="51">
        <f t="shared" si="3"/>
        <v>6</v>
      </c>
      <c r="AP8" s="51">
        <f t="shared" si="4"/>
        <v>11</v>
      </c>
    </row>
    <row r="9" spans="2:42" ht="18.75" x14ac:dyDescent="0.25">
      <c r="B9" s="37">
        <v>5</v>
      </c>
      <c r="C9" s="141" t="s">
        <v>134</v>
      </c>
      <c r="D9" s="141"/>
      <c r="F9" s="52" t="s">
        <v>228</v>
      </c>
      <c r="G9" s="52" t="s">
        <v>228</v>
      </c>
      <c r="H9" s="52" t="s">
        <v>203</v>
      </c>
      <c r="I9" s="52" t="s">
        <v>204</v>
      </c>
      <c r="J9" s="52" t="s">
        <v>204</v>
      </c>
      <c r="K9" s="52" t="s">
        <v>227</v>
      </c>
      <c r="L9" s="52" t="s">
        <v>227</v>
      </c>
      <c r="M9" s="52" t="s">
        <v>228</v>
      </c>
      <c r="N9" s="52" t="s">
        <v>228</v>
      </c>
      <c r="O9" s="52" t="s">
        <v>228</v>
      </c>
      <c r="P9" s="52" t="s">
        <v>229</v>
      </c>
      <c r="Q9" s="52" t="s">
        <v>229</v>
      </c>
      <c r="R9" s="52" t="s">
        <v>229</v>
      </c>
      <c r="S9" s="52" t="s">
        <v>229</v>
      </c>
      <c r="T9" s="52" t="s">
        <v>229</v>
      </c>
      <c r="U9" s="52" t="s">
        <v>229</v>
      </c>
      <c r="V9" s="52" t="s">
        <v>229</v>
      </c>
      <c r="W9" s="52" t="s">
        <v>229</v>
      </c>
      <c r="X9" s="52" t="s">
        <v>229</v>
      </c>
      <c r="Y9" s="52" t="s">
        <v>229</v>
      </c>
      <c r="Z9" s="52" t="s">
        <v>229</v>
      </c>
      <c r="AA9" s="52" t="s">
        <v>229</v>
      </c>
      <c r="AB9" s="52" t="s">
        <v>229</v>
      </c>
      <c r="AC9" s="52" t="s">
        <v>229</v>
      </c>
      <c r="AD9" s="52" t="s">
        <v>228</v>
      </c>
      <c r="AE9" s="52" t="s">
        <v>228</v>
      </c>
      <c r="AF9" s="52" t="s">
        <v>126</v>
      </c>
      <c r="AG9" s="52" t="s">
        <v>204</v>
      </c>
      <c r="AH9" s="52" t="s">
        <v>227</v>
      </c>
      <c r="AI9" s="52" t="s">
        <v>227</v>
      </c>
      <c r="AJ9" s="52"/>
      <c r="AL9" s="51">
        <f t="shared" si="0"/>
        <v>0</v>
      </c>
      <c r="AM9" s="51">
        <f t="shared" si="1"/>
        <v>1</v>
      </c>
      <c r="AN9" s="51">
        <f t="shared" si="2"/>
        <v>3</v>
      </c>
      <c r="AO9" s="51">
        <f t="shared" si="3"/>
        <v>4</v>
      </c>
      <c r="AP9" s="51">
        <f t="shared" si="4"/>
        <v>7</v>
      </c>
    </row>
    <row r="10" spans="2:42" ht="18.75" x14ac:dyDescent="0.25">
      <c r="B10" s="37">
        <v>6</v>
      </c>
      <c r="C10" s="141" t="s">
        <v>135</v>
      </c>
      <c r="D10" s="141"/>
      <c r="F10" s="52" t="s">
        <v>228</v>
      </c>
      <c r="G10" s="52" t="s">
        <v>203</v>
      </c>
      <c r="H10" s="52" t="s">
        <v>204</v>
      </c>
      <c r="I10" s="52" t="s">
        <v>204</v>
      </c>
      <c r="J10" s="52" t="s">
        <v>227</v>
      </c>
      <c r="K10" s="52" t="s">
        <v>227</v>
      </c>
      <c r="L10" s="52" t="s">
        <v>228</v>
      </c>
      <c r="M10" s="52" t="s">
        <v>228</v>
      </c>
      <c r="N10" s="52" t="s">
        <v>228</v>
      </c>
      <c r="O10" s="52" t="s">
        <v>203</v>
      </c>
      <c r="P10" s="52" t="s">
        <v>203</v>
      </c>
      <c r="Q10" s="52" t="s">
        <v>204</v>
      </c>
      <c r="R10" s="52" t="s">
        <v>227</v>
      </c>
      <c r="S10" s="52" t="s">
        <v>227</v>
      </c>
      <c r="T10" s="52" t="s">
        <v>228</v>
      </c>
      <c r="U10" s="52" t="s">
        <v>228</v>
      </c>
      <c r="V10" s="52" t="s">
        <v>228</v>
      </c>
      <c r="W10" s="52" t="s">
        <v>203</v>
      </c>
      <c r="X10" s="52" t="s">
        <v>203</v>
      </c>
      <c r="Y10" s="52" t="s">
        <v>204</v>
      </c>
      <c r="Z10" s="52" t="s">
        <v>227</v>
      </c>
      <c r="AA10" s="52" t="s">
        <v>227</v>
      </c>
      <c r="AB10" s="52" t="s">
        <v>228</v>
      </c>
      <c r="AC10" s="52" t="s">
        <v>228</v>
      </c>
      <c r="AD10" s="52" t="s">
        <v>228</v>
      </c>
      <c r="AE10" s="52" t="s">
        <v>203</v>
      </c>
      <c r="AF10" s="52" t="s">
        <v>203</v>
      </c>
      <c r="AG10" s="52" t="s">
        <v>204</v>
      </c>
      <c r="AH10" s="52" t="s">
        <v>227</v>
      </c>
      <c r="AI10" s="52" t="s">
        <v>227</v>
      </c>
      <c r="AJ10" s="52"/>
      <c r="AL10" s="51">
        <f t="shared" si="0"/>
        <v>0</v>
      </c>
      <c r="AM10" s="51">
        <f t="shared" si="1"/>
        <v>7</v>
      </c>
      <c r="AN10" s="51">
        <f t="shared" si="2"/>
        <v>5</v>
      </c>
      <c r="AO10" s="51">
        <f t="shared" si="3"/>
        <v>8</v>
      </c>
      <c r="AP10" s="51">
        <f t="shared" si="4"/>
        <v>10</v>
      </c>
    </row>
    <row r="11" spans="2:42" ht="18.75" x14ac:dyDescent="0.25">
      <c r="B11" s="37">
        <v>7</v>
      </c>
      <c r="C11" s="141" t="s">
        <v>240</v>
      </c>
      <c r="D11" s="141"/>
      <c r="F11" s="52" t="s">
        <v>203</v>
      </c>
      <c r="G11" s="52" t="s">
        <v>204</v>
      </c>
      <c r="H11" s="52" t="s">
        <v>204</v>
      </c>
      <c r="I11" s="52" t="s">
        <v>227</v>
      </c>
      <c r="J11" s="52" t="s">
        <v>227</v>
      </c>
      <c r="K11" s="52" t="s">
        <v>228</v>
      </c>
      <c r="L11" s="52" t="s">
        <v>228</v>
      </c>
      <c r="M11" s="52" t="s">
        <v>228</v>
      </c>
      <c r="N11" s="52" t="s">
        <v>203</v>
      </c>
      <c r="O11" s="52" t="s">
        <v>203</v>
      </c>
      <c r="P11" s="52" t="s">
        <v>204</v>
      </c>
      <c r="Q11" s="52" t="s">
        <v>204</v>
      </c>
      <c r="R11" s="52" t="s">
        <v>227</v>
      </c>
      <c r="S11" s="52" t="s">
        <v>228</v>
      </c>
      <c r="T11" s="52" t="s">
        <v>228</v>
      </c>
      <c r="U11" s="52" t="s">
        <v>228</v>
      </c>
      <c r="V11" s="98" t="s">
        <v>203</v>
      </c>
      <c r="W11" s="99" t="s">
        <v>204</v>
      </c>
      <c r="X11" s="99" t="s">
        <v>204</v>
      </c>
      <c r="Y11" s="99" t="s">
        <v>227</v>
      </c>
      <c r="Z11" s="99" t="s">
        <v>227</v>
      </c>
      <c r="AA11" s="57" t="s">
        <v>228</v>
      </c>
      <c r="AB11" s="58" t="s">
        <v>228</v>
      </c>
      <c r="AC11" s="52" t="s">
        <v>228</v>
      </c>
      <c r="AD11" s="52" t="s">
        <v>203</v>
      </c>
      <c r="AE11" s="52" t="s">
        <v>204</v>
      </c>
      <c r="AF11" s="52" t="s">
        <v>204</v>
      </c>
      <c r="AG11" s="52" t="s">
        <v>227</v>
      </c>
      <c r="AH11" s="52" t="s">
        <v>227</v>
      </c>
      <c r="AI11" s="52" t="s">
        <v>228</v>
      </c>
      <c r="AJ11" s="52"/>
      <c r="AL11" s="51">
        <f t="shared" si="0"/>
        <v>0</v>
      </c>
      <c r="AM11" s="51">
        <f t="shared" si="1"/>
        <v>5</v>
      </c>
      <c r="AN11" s="51">
        <f t="shared" si="2"/>
        <v>8</v>
      </c>
      <c r="AO11" s="51">
        <f t="shared" si="3"/>
        <v>7</v>
      </c>
      <c r="AP11" s="51">
        <f t="shared" si="4"/>
        <v>10</v>
      </c>
    </row>
    <row r="12" spans="2:42" ht="18.75" x14ac:dyDescent="0.25">
      <c r="B12" s="37">
        <v>8</v>
      </c>
      <c r="C12" s="141" t="s">
        <v>136</v>
      </c>
      <c r="D12" s="141"/>
      <c r="F12" s="52" t="s">
        <v>204</v>
      </c>
      <c r="G12" s="52" t="s">
        <v>204</v>
      </c>
      <c r="H12" s="52" t="s">
        <v>227</v>
      </c>
      <c r="I12" s="52" t="s">
        <v>227</v>
      </c>
      <c r="J12" s="52" t="s">
        <v>228</v>
      </c>
      <c r="K12" s="52" t="s">
        <v>228</v>
      </c>
      <c r="L12" s="52" t="s">
        <v>228</v>
      </c>
      <c r="M12" s="52" t="s">
        <v>203</v>
      </c>
      <c r="N12" s="52" t="s">
        <v>203</v>
      </c>
      <c r="O12" s="52" t="s">
        <v>204</v>
      </c>
      <c r="P12" s="52" t="s">
        <v>204</v>
      </c>
      <c r="Q12" s="52" t="s">
        <v>227</v>
      </c>
      <c r="R12" s="52" t="s">
        <v>228</v>
      </c>
      <c r="S12" s="52" t="s">
        <v>228</v>
      </c>
      <c r="T12" s="52" t="s">
        <v>228</v>
      </c>
      <c r="U12" s="98" t="s">
        <v>203</v>
      </c>
      <c r="V12" s="99" t="s">
        <v>204</v>
      </c>
      <c r="W12" s="99" t="s">
        <v>204</v>
      </c>
      <c r="X12" s="99" t="s">
        <v>227</v>
      </c>
      <c r="Y12" s="99" t="s">
        <v>227</v>
      </c>
      <c r="Z12" s="57" t="s">
        <v>228</v>
      </c>
      <c r="AA12" s="57" t="s">
        <v>228</v>
      </c>
      <c r="AB12" s="58" t="s">
        <v>228</v>
      </c>
      <c r="AC12" s="52" t="s">
        <v>203</v>
      </c>
      <c r="AD12" s="52" t="s">
        <v>204</v>
      </c>
      <c r="AE12" s="52" t="s">
        <v>204</v>
      </c>
      <c r="AF12" s="52" t="s">
        <v>227</v>
      </c>
      <c r="AG12" s="52" t="s">
        <v>227</v>
      </c>
      <c r="AH12" s="52" t="s">
        <v>228</v>
      </c>
      <c r="AI12" s="52" t="s">
        <v>228</v>
      </c>
      <c r="AJ12" s="52"/>
      <c r="AL12" s="51">
        <f t="shared" si="0"/>
        <v>0</v>
      </c>
      <c r="AM12" s="51">
        <f t="shared" si="1"/>
        <v>4</v>
      </c>
      <c r="AN12" s="51">
        <f t="shared" si="2"/>
        <v>8</v>
      </c>
      <c r="AO12" s="51">
        <f t="shared" si="3"/>
        <v>7</v>
      </c>
      <c r="AP12" s="51">
        <f t="shared" si="4"/>
        <v>11</v>
      </c>
    </row>
    <row r="13" spans="2:42" ht="18.75" x14ac:dyDescent="0.25">
      <c r="B13" s="37">
        <v>9</v>
      </c>
      <c r="C13" s="141" t="s">
        <v>137</v>
      </c>
      <c r="D13" s="141"/>
      <c r="F13" s="52" t="s">
        <v>229</v>
      </c>
      <c r="G13" s="52" t="s">
        <v>229</v>
      </c>
      <c r="H13" s="52" t="s">
        <v>229</v>
      </c>
      <c r="I13" s="52" t="s">
        <v>229</v>
      </c>
      <c r="J13" s="52" t="s">
        <v>229</v>
      </c>
      <c r="K13" s="52" t="s">
        <v>228</v>
      </c>
      <c r="L13" s="52" t="s">
        <v>203</v>
      </c>
      <c r="M13" s="52" t="s">
        <v>203</v>
      </c>
      <c r="N13" s="52" t="s">
        <v>204</v>
      </c>
      <c r="O13" s="52" t="s">
        <v>204</v>
      </c>
      <c r="P13" s="52" t="s">
        <v>227</v>
      </c>
      <c r="Q13" s="52" t="s">
        <v>228</v>
      </c>
      <c r="R13" s="52" t="s">
        <v>228</v>
      </c>
      <c r="S13" s="52" t="s">
        <v>228</v>
      </c>
      <c r="T13" s="98" t="s">
        <v>203</v>
      </c>
      <c r="U13" s="99" t="s">
        <v>204</v>
      </c>
      <c r="V13" s="99" t="s">
        <v>204</v>
      </c>
      <c r="W13" s="99" t="s">
        <v>227</v>
      </c>
      <c r="X13" s="99" t="s">
        <v>227</v>
      </c>
      <c r="Y13" s="57" t="s">
        <v>228</v>
      </c>
      <c r="Z13" s="57" t="s">
        <v>228</v>
      </c>
      <c r="AA13" s="57" t="s">
        <v>228</v>
      </c>
      <c r="AB13" s="52" t="s">
        <v>203</v>
      </c>
      <c r="AC13" s="52" t="s">
        <v>203</v>
      </c>
      <c r="AD13" s="52" t="s">
        <v>204</v>
      </c>
      <c r="AE13" s="52" t="s">
        <v>227</v>
      </c>
      <c r="AF13" s="52" t="s">
        <v>227</v>
      </c>
      <c r="AG13" s="52" t="s">
        <v>228</v>
      </c>
      <c r="AH13" s="52" t="s">
        <v>228</v>
      </c>
      <c r="AI13" s="52" t="s">
        <v>228</v>
      </c>
      <c r="AJ13" s="52"/>
      <c r="AL13" s="51">
        <f t="shared" si="0"/>
        <v>0</v>
      </c>
      <c r="AM13" s="51">
        <f t="shared" si="1"/>
        <v>5</v>
      </c>
      <c r="AN13" s="51">
        <f t="shared" si="2"/>
        <v>5</v>
      </c>
      <c r="AO13" s="51">
        <f t="shared" si="3"/>
        <v>5</v>
      </c>
      <c r="AP13" s="51">
        <f t="shared" si="4"/>
        <v>10</v>
      </c>
    </row>
    <row r="14" spans="2:42" ht="18.75" x14ac:dyDescent="0.25">
      <c r="B14" s="37">
        <v>10</v>
      </c>
      <c r="C14" s="141" t="s">
        <v>138</v>
      </c>
      <c r="D14" s="141"/>
      <c r="F14" s="52" t="s">
        <v>227</v>
      </c>
      <c r="G14" s="52" t="s">
        <v>227</v>
      </c>
      <c r="H14" s="52" t="s">
        <v>228</v>
      </c>
      <c r="I14" s="52" t="s">
        <v>228</v>
      </c>
      <c r="J14" s="52" t="s">
        <v>228</v>
      </c>
      <c r="K14" s="52" t="s">
        <v>203</v>
      </c>
      <c r="L14" s="52" t="s">
        <v>204</v>
      </c>
      <c r="M14" s="52" t="s">
        <v>204</v>
      </c>
      <c r="N14" s="52" t="s">
        <v>227</v>
      </c>
      <c r="O14" s="52" t="s">
        <v>227</v>
      </c>
      <c r="P14" s="52" t="s">
        <v>228</v>
      </c>
      <c r="Q14" s="52" t="s">
        <v>228</v>
      </c>
      <c r="R14" s="52" t="s">
        <v>228</v>
      </c>
      <c r="S14" s="98" t="s">
        <v>229</v>
      </c>
      <c r="T14" s="99" t="s">
        <v>229</v>
      </c>
      <c r="U14" s="99" t="s">
        <v>229</v>
      </c>
      <c r="V14" s="99" t="s">
        <v>229</v>
      </c>
      <c r="W14" s="99" t="s">
        <v>229</v>
      </c>
      <c r="X14" s="52" t="s">
        <v>229</v>
      </c>
      <c r="Y14" s="52" t="s">
        <v>228</v>
      </c>
      <c r="Z14" s="52" t="s">
        <v>228</v>
      </c>
      <c r="AA14" s="52" t="s">
        <v>203</v>
      </c>
      <c r="AB14" s="52" t="s">
        <v>204</v>
      </c>
      <c r="AC14" s="52" t="s">
        <v>204</v>
      </c>
      <c r="AD14" s="52" t="s">
        <v>227</v>
      </c>
      <c r="AE14" s="52" t="s">
        <v>227</v>
      </c>
      <c r="AF14" s="52" t="s">
        <v>228</v>
      </c>
      <c r="AG14" s="52" t="s">
        <v>228</v>
      </c>
      <c r="AH14" s="52" t="s">
        <v>228</v>
      </c>
      <c r="AI14" s="52" t="s">
        <v>203</v>
      </c>
      <c r="AJ14" s="52"/>
      <c r="AL14" s="51">
        <f t="shared" si="0"/>
        <v>0</v>
      </c>
      <c r="AM14" s="51">
        <f t="shared" si="1"/>
        <v>3</v>
      </c>
      <c r="AN14" s="51">
        <f t="shared" si="2"/>
        <v>4</v>
      </c>
      <c r="AO14" s="51">
        <f t="shared" si="3"/>
        <v>6</v>
      </c>
      <c r="AP14" s="51">
        <f t="shared" si="4"/>
        <v>11</v>
      </c>
    </row>
    <row r="15" spans="2:42" ht="18.75" x14ac:dyDescent="0.25">
      <c r="B15" s="37">
        <v>11</v>
      </c>
      <c r="C15" s="141" t="s">
        <v>139</v>
      </c>
      <c r="D15" s="141"/>
      <c r="F15" s="52" t="s">
        <v>227</v>
      </c>
      <c r="G15" s="52" t="s">
        <v>228</v>
      </c>
      <c r="H15" s="52" t="s">
        <v>228</v>
      </c>
      <c r="I15" s="52" t="s">
        <v>228</v>
      </c>
      <c r="J15" s="52" t="s">
        <v>203</v>
      </c>
      <c r="K15" s="52" t="s">
        <v>204</v>
      </c>
      <c r="L15" s="52" t="s">
        <v>204</v>
      </c>
      <c r="M15" s="52" t="s">
        <v>227</v>
      </c>
      <c r="N15" s="52" t="s">
        <v>227</v>
      </c>
      <c r="O15" s="52" t="s">
        <v>228</v>
      </c>
      <c r="P15" s="52" t="s">
        <v>228</v>
      </c>
      <c r="Q15" s="52" t="s">
        <v>228</v>
      </c>
      <c r="R15" s="52" t="s">
        <v>126</v>
      </c>
      <c r="S15" s="52" t="s">
        <v>204</v>
      </c>
      <c r="T15" s="52" t="s">
        <v>204</v>
      </c>
      <c r="U15" s="52" t="s">
        <v>227</v>
      </c>
      <c r="V15" s="52" t="s">
        <v>227</v>
      </c>
      <c r="W15" s="52" t="s">
        <v>228</v>
      </c>
      <c r="X15" s="52" t="s">
        <v>228</v>
      </c>
      <c r="Y15" s="52" t="s">
        <v>228</v>
      </c>
      <c r="Z15" s="52" t="s">
        <v>229</v>
      </c>
      <c r="AA15" s="52" t="s">
        <v>229</v>
      </c>
      <c r="AB15" s="113" t="s">
        <v>229</v>
      </c>
      <c r="AC15" s="52" t="s">
        <v>229</v>
      </c>
      <c r="AD15" s="52" t="s">
        <v>229</v>
      </c>
      <c r="AE15" s="52" t="s">
        <v>229</v>
      </c>
      <c r="AF15" s="52" t="s">
        <v>229</v>
      </c>
      <c r="AG15" s="52" t="s">
        <v>229</v>
      </c>
      <c r="AH15" s="52" t="s">
        <v>229</v>
      </c>
      <c r="AI15" s="52" t="s">
        <v>229</v>
      </c>
      <c r="AJ15" s="52"/>
      <c r="AL15" s="51">
        <f t="shared" si="0"/>
        <v>0</v>
      </c>
      <c r="AM15" s="51">
        <f t="shared" si="1"/>
        <v>1</v>
      </c>
      <c r="AN15" s="51">
        <f t="shared" si="2"/>
        <v>4</v>
      </c>
      <c r="AO15" s="51">
        <f t="shared" si="3"/>
        <v>5</v>
      </c>
      <c r="AP15" s="51">
        <f t="shared" si="4"/>
        <v>9</v>
      </c>
    </row>
    <row r="16" spans="2:42" ht="18.75" x14ac:dyDescent="0.25">
      <c r="B16" s="37">
        <v>12</v>
      </c>
      <c r="C16" s="141" t="s">
        <v>147</v>
      </c>
      <c r="D16" s="141"/>
      <c r="F16" s="52" t="s">
        <v>228</v>
      </c>
      <c r="G16" s="52" t="s">
        <v>228</v>
      </c>
      <c r="H16" s="52" t="s">
        <v>228</v>
      </c>
      <c r="I16" s="52" t="s">
        <v>203</v>
      </c>
      <c r="J16" s="52" t="s">
        <v>204</v>
      </c>
      <c r="K16" s="52" t="s">
        <v>204</v>
      </c>
      <c r="L16" s="52" t="s">
        <v>227</v>
      </c>
      <c r="M16" s="52" t="s">
        <v>227</v>
      </c>
      <c r="N16" s="52" t="s">
        <v>228</v>
      </c>
      <c r="O16" s="52" t="s">
        <v>228</v>
      </c>
      <c r="P16" s="52" t="s">
        <v>228</v>
      </c>
      <c r="Q16" s="52" t="s">
        <v>203</v>
      </c>
      <c r="R16" s="52" t="s">
        <v>204</v>
      </c>
      <c r="S16" s="52" t="s">
        <v>204</v>
      </c>
      <c r="T16" s="52" t="s">
        <v>227</v>
      </c>
      <c r="U16" s="52" t="s">
        <v>227</v>
      </c>
      <c r="V16" s="52" t="s">
        <v>228</v>
      </c>
      <c r="W16" s="52" t="s">
        <v>228</v>
      </c>
      <c r="X16" s="52" t="s">
        <v>228</v>
      </c>
      <c r="Y16" s="52" t="s">
        <v>203</v>
      </c>
      <c r="Z16" s="52" t="s">
        <v>204</v>
      </c>
      <c r="AA16" s="52" t="s">
        <v>204</v>
      </c>
      <c r="AB16" s="52" t="s">
        <v>227</v>
      </c>
      <c r="AC16" s="52" t="s">
        <v>227</v>
      </c>
      <c r="AD16" s="52" t="s">
        <v>228</v>
      </c>
      <c r="AE16" s="52" t="s">
        <v>228</v>
      </c>
      <c r="AF16" s="52" t="s">
        <v>228</v>
      </c>
      <c r="AG16" s="52" t="s">
        <v>203</v>
      </c>
      <c r="AH16" s="52" t="s">
        <v>204</v>
      </c>
      <c r="AI16" s="52" t="s">
        <v>204</v>
      </c>
      <c r="AJ16" s="52"/>
      <c r="AL16" s="51">
        <f t="shared" si="0"/>
        <v>0</v>
      </c>
      <c r="AM16" s="51">
        <f t="shared" si="1"/>
        <v>4</v>
      </c>
      <c r="AN16" s="51">
        <f t="shared" si="2"/>
        <v>8</v>
      </c>
      <c r="AO16" s="51">
        <f t="shared" si="3"/>
        <v>6</v>
      </c>
      <c r="AP16" s="51">
        <f t="shared" si="4"/>
        <v>12</v>
      </c>
    </row>
    <row r="17" spans="2:42" ht="18.75" x14ac:dyDescent="0.25">
      <c r="B17" s="37">
        <v>13</v>
      </c>
      <c r="C17" s="141" t="s">
        <v>140</v>
      </c>
      <c r="D17" s="141"/>
      <c r="F17" s="52" t="s">
        <v>228</v>
      </c>
      <c r="G17" s="52" t="s">
        <v>228</v>
      </c>
      <c r="H17" s="52" t="s">
        <v>203</v>
      </c>
      <c r="I17" s="52" t="s">
        <v>203</v>
      </c>
      <c r="J17" s="52" t="s">
        <v>204</v>
      </c>
      <c r="K17" s="52" t="s">
        <v>227</v>
      </c>
      <c r="L17" s="52" t="s">
        <v>227</v>
      </c>
      <c r="M17" s="52" t="s">
        <v>228</v>
      </c>
      <c r="N17" s="52" t="s">
        <v>228</v>
      </c>
      <c r="O17" s="52" t="s">
        <v>228</v>
      </c>
      <c r="P17" s="52" t="s">
        <v>203</v>
      </c>
      <c r="Q17" s="52" t="s">
        <v>203</v>
      </c>
      <c r="R17" s="52" t="s">
        <v>204</v>
      </c>
      <c r="S17" s="52" t="s">
        <v>227</v>
      </c>
      <c r="T17" s="52" t="s">
        <v>227</v>
      </c>
      <c r="U17" s="52" t="s">
        <v>228</v>
      </c>
      <c r="V17" s="52" t="s">
        <v>228</v>
      </c>
      <c r="W17" s="52" t="s">
        <v>228</v>
      </c>
      <c r="X17" s="52" t="s">
        <v>203</v>
      </c>
      <c r="Y17" s="52" t="s">
        <v>203</v>
      </c>
      <c r="Z17" s="52" t="s">
        <v>204</v>
      </c>
      <c r="AA17" s="52" t="s">
        <v>227</v>
      </c>
      <c r="AB17" s="52" t="s">
        <v>227</v>
      </c>
      <c r="AC17" s="52" t="s">
        <v>228</v>
      </c>
      <c r="AD17" s="52" t="s">
        <v>228</v>
      </c>
      <c r="AE17" s="52" t="s">
        <v>228</v>
      </c>
      <c r="AF17" s="52" t="s">
        <v>203</v>
      </c>
      <c r="AG17" s="52" t="s">
        <v>203</v>
      </c>
      <c r="AH17" s="52" t="s">
        <v>204</v>
      </c>
      <c r="AI17" s="52" t="s">
        <v>227</v>
      </c>
      <c r="AJ17" s="52"/>
      <c r="AL17" s="51">
        <f t="shared" si="0"/>
        <v>0</v>
      </c>
      <c r="AM17" s="51">
        <f t="shared" si="1"/>
        <v>8</v>
      </c>
      <c r="AN17" s="51">
        <f t="shared" si="2"/>
        <v>4</v>
      </c>
      <c r="AO17" s="51">
        <f t="shared" si="3"/>
        <v>7</v>
      </c>
      <c r="AP17" s="51">
        <f t="shared" si="4"/>
        <v>11</v>
      </c>
    </row>
    <row r="18" spans="2:42" ht="18.75" x14ac:dyDescent="0.25">
      <c r="B18" s="37">
        <v>14</v>
      </c>
      <c r="C18" s="141" t="s">
        <v>141</v>
      </c>
      <c r="D18" s="141"/>
      <c r="F18" s="52" t="s">
        <v>229</v>
      </c>
      <c r="G18" s="52" t="s">
        <v>229</v>
      </c>
      <c r="H18" s="52" t="s">
        <v>229</v>
      </c>
      <c r="I18" s="52" t="s">
        <v>229</v>
      </c>
      <c r="J18" s="52" t="s">
        <v>229</v>
      </c>
      <c r="K18" s="52" t="s">
        <v>229</v>
      </c>
      <c r="L18" s="52" t="s">
        <v>229</v>
      </c>
      <c r="M18" s="52" t="s">
        <v>229</v>
      </c>
      <c r="N18" s="52" t="s">
        <v>229</v>
      </c>
      <c r="O18" s="52" t="s">
        <v>229</v>
      </c>
      <c r="P18" s="52" t="s">
        <v>229</v>
      </c>
      <c r="Q18" s="52" t="s">
        <v>229</v>
      </c>
      <c r="R18" s="52" t="s">
        <v>229</v>
      </c>
      <c r="S18" s="52" t="s">
        <v>229</v>
      </c>
      <c r="T18" s="52" t="s">
        <v>229</v>
      </c>
      <c r="U18" s="52" t="s">
        <v>228</v>
      </c>
      <c r="V18" s="52" t="s">
        <v>228</v>
      </c>
      <c r="W18" s="52" t="s">
        <v>203</v>
      </c>
      <c r="X18" s="52" t="s">
        <v>203</v>
      </c>
      <c r="Y18" s="52" t="s">
        <v>204</v>
      </c>
      <c r="Z18" s="52" t="s">
        <v>227</v>
      </c>
      <c r="AA18" s="52" t="s">
        <v>227</v>
      </c>
      <c r="AB18" s="52" t="s">
        <v>228</v>
      </c>
      <c r="AC18" s="52" t="s">
        <v>228</v>
      </c>
      <c r="AD18" s="52" t="s">
        <v>228</v>
      </c>
      <c r="AE18" s="52" t="s">
        <v>203</v>
      </c>
      <c r="AF18" s="52" t="s">
        <v>203</v>
      </c>
      <c r="AG18" s="52" t="s">
        <v>204</v>
      </c>
      <c r="AH18" s="52" t="s">
        <v>204</v>
      </c>
      <c r="AI18" s="52" t="s">
        <v>227</v>
      </c>
      <c r="AJ18" s="52"/>
      <c r="AL18" s="51">
        <f t="shared" si="0"/>
        <v>0</v>
      </c>
      <c r="AM18" s="51">
        <f t="shared" si="1"/>
        <v>4</v>
      </c>
      <c r="AN18" s="51">
        <f t="shared" si="2"/>
        <v>3</v>
      </c>
      <c r="AO18" s="51">
        <f t="shared" si="3"/>
        <v>3</v>
      </c>
      <c r="AP18" s="51">
        <f t="shared" si="4"/>
        <v>5</v>
      </c>
    </row>
    <row r="19" spans="2:42" ht="18.75" x14ac:dyDescent="0.25">
      <c r="B19" s="37">
        <v>15</v>
      </c>
      <c r="C19" s="141" t="s">
        <v>142</v>
      </c>
      <c r="D19" s="141"/>
      <c r="F19" s="52" t="s">
        <v>229</v>
      </c>
      <c r="G19" s="52" t="s">
        <v>229</v>
      </c>
      <c r="H19" s="52" t="s">
        <v>229</v>
      </c>
      <c r="I19" s="52" t="s">
        <v>229</v>
      </c>
      <c r="J19" s="52" t="s">
        <v>229</v>
      </c>
      <c r="K19" s="52" t="s">
        <v>229</v>
      </c>
      <c r="L19" s="52" t="s">
        <v>228</v>
      </c>
      <c r="M19" s="52" t="s">
        <v>228</v>
      </c>
      <c r="N19" s="52" t="s">
        <v>203</v>
      </c>
      <c r="O19" s="52" t="s">
        <v>203</v>
      </c>
      <c r="P19" s="52" t="s">
        <v>204</v>
      </c>
      <c r="Q19" s="52" t="s">
        <v>204</v>
      </c>
      <c r="R19" s="52" t="s">
        <v>227</v>
      </c>
      <c r="S19" s="52" t="s">
        <v>228</v>
      </c>
      <c r="T19" s="52" t="s">
        <v>228</v>
      </c>
      <c r="U19" s="52" t="s">
        <v>228</v>
      </c>
      <c r="V19" s="52" t="s">
        <v>203</v>
      </c>
      <c r="W19" s="52" t="s">
        <v>203</v>
      </c>
      <c r="X19" s="52" t="s">
        <v>204</v>
      </c>
      <c r="Y19" s="52" t="s">
        <v>204</v>
      </c>
      <c r="Z19" s="52" t="s">
        <v>227</v>
      </c>
      <c r="AA19" s="52" t="s">
        <v>228</v>
      </c>
      <c r="AB19" s="52" t="s">
        <v>228</v>
      </c>
      <c r="AC19" s="52" t="s">
        <v>228</v>
      </c>
      <c r="AD19" s="52" t="s">
        <v>203</v>
      </c>
      <c r="AE19" s="52" t="s">
        <v>203</v>
      </c>
      <c r="AF19" s="52" t="s">
        <v>204</v>
      </c>
      <c r="AG19" s="52" t="s">
        <v>204</v>
      </c>
      <c r="AH19" s="52" t="s">
        <v>227</v>
      </c>
      <c r="AI19" s="52" t="s">
        <v>228</v>
      </c>
      <c r="AJ19" s="52"/>
      <c r="AL19" s="51">
        <f t="shared" si="0"/>
        <v>0</v>
      </c>
      <c r="AM19" s="51">
        <f t="shared" si="1"/>
        <v>6</v>
      </c>
      <c r="AN19" s="51">
        <f t="shared" si="2"/>
        <v>6</v>
      </c>
      <c r="AO19" s="51">
        <f t="shared" si="3"/>
        <v>3</v>
      </c>
      <c r="AP19" s="51">
        <f t="shared" si="4"/>
        <v>9</v>
      </c>
    </row>
    <row r="20" spans="2:42" ht="18.75" x14ac:dyDescent="0.25">
      <c r="B20" s="37">
        <v>16</v>
      </c>
      <c r="C20" s="141" t="s">
        <v>143</v>
      </c>
      <c r="D20" s="141"/>
      <c r="F20" s="99" t="s">
        <v>203</v>
      </c>
      <c r="G20" s="99" t="s">
        <v>204</v>
      </c>
      <c r="H20" s="99" t="s">
        <v>227</v>
      </c>
      <c r="I20" s="99" t="s">
        <v>227</v>
      </c>
      <c r="J20" s="98" t="s">
        <v>228</v>
      </c>
      <c r="K20" s="99" t="s">
        <v>228</v>
      </c>
      <c r="L20" s="99" t="s">
        <v>228</v>
      </c>
      <c r="M20" s="52" t="s">
        <v>203</v>
      </c>
      <c r="N20" s="52" t="s">
        <v>203</v>
      </c>
      <c r="O20" s="52" t="s">
        <v>204</v>
      </c>
      <c r="P20" s="52" t="s">
        <v>227</v>
      </c>
      <c r="Q20" s="52" t="s">
        <v>227</v>
      </c>
      <c r="R20" s="52" t="s">
        <v>228</v>
      </c>
      <c r="S20" s="52" t="s">
        <v>228</v>
      </c>
      <c r="T20" s="52" t="s">
        <v>228</v>
      </c>
      <c r="U20" s="52" t="s">
        <v>203</v>
      </c>
      <c r="V20" s="52" t="s">
        <v>204</v>
      </c>
      <c r="W20" s="52" t="s">
        <v>204</v>
      </c>
      <c r="X20" s="52" t="s">
        <v>227</v>
      </c>
      <c r="Y20" s="52" t="s">
        <v>227</v>
      </c>
      <c r="Z20" s="52" t="s">
        <v>228</v>
      </c>
      <c r="AA20" s="52" t="s">
        <v>228</v>
      </c>
      <c r="AB20" s="52" t="s">
        <v>228</v>
      </c>
      <c r="AC20" s="98" t="s">
        <v>203</v>
      </c>
      <c r="AD20" s="99" t="s">
        <v>204</v>
      </c>
      <c r="AE20" s="99" t="s">
        <v>204</v>
      </c>
      <c r="AF20" s="99" t="s">
        <v>227</v>
      </c>
      <c r="AG20" s="99" t="s">
        <v>227</v>
      </c>
      <c r="AH20" s="98" t="s">
        <v>228</v>
      </c>
      <c r="AI20" s="99" t="s">
        <v>228</v>
      </c>
      <c r="AJ20" s="98"/>
      <c r="AL20" s="51">
        <f t="shared" si="0"/>
        <v>0</v>
      </c>
      <c r="AM20" s="51">
        <f t="shared" si="1"/>
        <v>5</v>
      </c>
      <c r="AN20" s="51">
        <f t="shared" si="2"/>
        <v>6</v>
      </c>
      <c r="AO20" s="51">
        <f t="shared" si="3"/>
        <v>8</v>
      </c>
      <c r="AP20" s="51">
        <f t="shared" si="4"/>
        <v>11</v>
      </c>
    </row>
    <row r="21" spans="2:42" ht="18.75" x14ac:dyDescent="0.25">
      <c r="B21" s="37">
        <v>17</v>
      </c>
      <c r="C21" s="141" t="s">
        <v>144</v>
      </c>
      <c r="D21" s="141"/>
      <c r="F21" s="52" t="s">
        <v>204</v>
      </c>
      <c r="G21" s="52" t="s">
        <v>227</v>
      </c>
      <c r="H21" s="52" t="s">
        <v>227</v>
      </c>
      <c r="I21" s="52" t="s">
        <v>228</v>
      </c>
      <c r="J21" s="52" t="s">
        <v>228</v>
      </c>
      <c r="K21" s="52" t="s">
        <v>228</v>
      </c>
      <c r="L21" s="52" t="s">
        <v>203</v>
      </c>
      <c r="M21" s="52" t="s">
        <v>126</v>
      </c>
      <c r="N21" s="52" t="s">
        <v>204</v>
      </c>
      <c r="O21" s="52" t="s">
        <v>227</v>
      </c>
      <c r="P21" s="52" t="s">
        <v>227</v>
      </c>
      <c r="Q21" s="52" t="s">
        <v>228</v>
      </c>
      <c r="R21" s="52" t="s">
        <v>228</v>
      </c>
      <c r="S21" s="52" t="s">
        <v>228</v>
      </c>
      <c r="T21" s="52" t="s">
        <v>203</v>
      </c>
      <c r="U21" s="52" t="s">
        <v>203</v>
      </c>
      <c r="V21" s="52" t="s">
        <v>204</v>
      </c>
      <c r="W21" s="52" t="s">
        <v>227</v>
      </c>
      <c r="X21" s="52" t="s">
        <v>227</v>
      </c>
      <c r="Y21" s="52" t="s">
        <v>228</v>
      </c>
      <c r="Z21" s="52" t="s">
        <v>228</v>
      </c>
      <c r="AA21" s="52" t="s">
        <v>228</v>
      </c>
      <c r="AB21" s="58" t="s">
        <v>203</v>
      </c>
      <c r="AC21" s="52" t="s">
        <v>204</v>
      </c>
      <c r="AD21" s="52" t="s">
        <v>204</v>
      </c>
      <c r="AE21" s="52" t="s">
        <v>126</v>
      </c>
      <c r="AF21" s="52" t="s">
        <v>227</v>
      </c>
      <c r="AG21" s="52" t="s">
        <v>228</v>
      </c>
      <c r="AH21" s="52" t="s">
        <v>228</v>
      </c>
      <c r="AI21" s="52" t="s">
        <v>228</v>
      </c>
      <c r="AJ21" s="52"/>
      <c r="AL21" s="51">
        <f t="shared" si="0"/>
        <v>0</v>
      </c>
      <c r="AM21" s="51">
        <f t="shared" si="1"/>
        <v>4</v>
      </c>
      <c r="AN21" s="51">
        <f t="shared" si="2"/>
        <v>5</v>
      </c>
      <c r="AO21" s="51">
        <f t="shared" si="3"/>
        <v>7</v>
      </c>
      <c r="AP21" s="51">
        <f t="shared" si="4"/>
        <v>12</v>
      </c>
    </row>
    <row r="22" spans="2:42" ht="18.75" x14ac:dyDescent="0.25">
      <c r="B22" s="37">
        <v>18</v>
      </c>
      <c r="C22" s="141" t="s">
        <v>145</v>
      </c>
      <c r="D22" s="141"/>
      <c r="F22" s="52" t="s">
        <v>227</v>
      </c>
      <c r="G22" s="52" t="s">
        <v>228</v>
      </c>
      <c r="H22" s="52" t="s">
        <v>228</v>
      </c>
      <c r="I22" s="52" t="s">
        <v>228</v>
      </c>
      <c r="J22" s="52" t="s">
        <v>203</v>
      </c>
      <c r="K22" s="52" t="s">
        <v>203</v>
      </c>
      <c r="L22" s="52" t="s">
        <v>204</v>
      </c>
      <c r="M22" s="52" t="s">
        <v>204</v>
      </c>
      <c r="N22" s="52" t="s">
        <v>227</v>
      </c>
      <c r="O22" s="52" t="s">
        <v>228</v>
      </c>
      <c r="P22" s="52" t="s">
        <v>228</v>
      </c>
      <c r="Q22" s="52" t="s">
        <v>228</v>
      </c>
      <c r="R22" s="52" t="s">
        <v>126</v>
      </c>
      <c r="S22" s="52" t="s">
        <v>204</v>
      </c>
      <c r="T22" s="52" t="s">
        <v>204</v>
      </c>
      <c r="U22" s="52" t="s">
        <v>227</v>
      </c>
      <c r="V22" s="52" t="s">
        <v>227</v>
      </c>
      <c r="W22" s="52" t="s">
        <v>228</v>
      </c>
      <c r="X22" s="52" t="s">
        <v>228</v>
      </c>
      <c r="Y22" s="52" t="s">
        <v>228</v>
      </c>
      <c r="Z22" s="52" t="s">
        <v>203</v>
      </c>
      <c r="AA22" s="52" t="s">
        <v>204</v>
      </c>
      <c r="AB22" s="52" t="s">
        <v>204</v>
      </c>
      <c r="AC22" s="52" t="s">
        <v>227</v>
      </c>
      <c r="AD22" s="52" t="s">
        <v>227</v>
      </c>
      <c r="AE22" s="52" t="s">
        <v>228</v>
      </c>
      <c r="AF22" s="52" t="s">
        <v>228</v>
      </c>
      <c r="AG22" s="52" t="s">
        <v>228</v>
      </c>
      <c r="AH22" s="52" t="s">
        <v>203</v>
      </c>
      <c r="AI22" s="52" t="s">
        <v>203</v>
      </c>
      <c r="AJ22" s="52"/>
      <c r="AL22" s="51">
        <f t="shared" si="0"/>
        <v>0</v>
      </c>
      <c r="AM22" s="51">
        <f t="shared" si="1"/>
        <v>5</v>
      </c>
      <c r="AN22" s="51">
        <f t="shared" si="2"/>
        <v>6</v>
      </c>
      <c r="AO22" s="51">
        <f t="shared" si="3"/>
        <v>6</v>
      </c>
      <c r="AP22" s="51">
        <f t="shared" si="4"/>
        <v>12</v>
      </c>
    </row>
    <row r="23" spans="2:42" ht="18.75" x14ac:dyDescent="0.25">
      <c r="B23" s="37">
        <v>19</v>
      </c>
      <c r="C23" s="141" t="s">
        <v>146</v>
      </c>
      <c r="D23" s="141"/>
      <c r="F23" s="52" t="s">
        <v>228</v>
      </c>
      <c r="G23" s="52" t="s">
        <v>228</v>
      </c>
      <c r="H23" s="52" t="s">
        <v>228</v>
      </c>
      <c r="I23" s="52" t="s">
        <v>203</v>
      </c>
      <c r="J23" s="52" t="s">
        <v>204</v>
      </c>
      <c r="K23" s="52" t="s">
        <v>204</v>
      </c>
      <c r="L23" s="52" t="s">
        <v>227</v>
      </c>
      <c r="M23" s="52" t="s">
        <v>227</v>
      </c>
      <c r="N23" s="52" t="s">
        <v>228</v>
      </c>
      <c r="O23" s="52" t="s">
        <v>228</v>
      </c>
      <c r="P23" s="52" t="s">
        <v>228</v>
      </c>
      <c r="Q23" s="52" t="s">
        <v>203</v>
      </c>
      <c r="R23" s="52" t="s">
        <v>204</v>
      </c>
      <c r="S23" s="52" t="s">
        <v>227</v>
      </c>
      <c r="T23" s="52" t="s">
        <v>227</v>
      </c>
      <c r="U23" s="52" t="s">
        <v>227</v>
      </c>
      <c r="V23" s="52" t="s">
        <v>228</v>
      </c>
      <c r="W23" s="52" t="s">
        <v>228</v>
      </c>
      <c r="X23" s="52" t="s">
        <v>228</v>
      </c>
      <c r="Y23" s="52" t="s">
        <v>203</v>
      </c>
      <c r="Z23" s="52" t="s">
        <v>204</v>
      </c>
      <c r="AA23" s="52" t="s">
        <v>204</v>
      </c>
      <c r="AB23" s="52" t="s">
        <v>227</v>
      </c>
      <c r="AC23" s="52" t="s">
        <v>227</v>
      </c>
      <c r="AD23" s="52" t="s">
        <v>228</v>
      </c>
      <c r="AE23" s="52" t="s">
        <v>228</v>
      </c>
      <c r="AF23" s="52" t="s">
        <v>228</v>
      </c>
      <c r="AG23" s="52" t="s">
        <v>203</v>
      </c>
      <c r="AH23" s="52" t="s">
        <v>204</v>
      </c>
      <c r="AI23" s="52" t="s">
        <v>204</v>
      </c>
      <c r="AJ23" s="52"/>
      <c r="AL23" s="51">
        <f t="shared" si="0"/>
        <v>0</v>
      </c>
      <c r="AM23" s="51">
        <f t="shared" si="1"/>
        <v>4</v>
      </c>
      <c r="AN23" s="51">
        <f t="shared" si="2"/>
        <v>7</v>
      </c>
      <c r="AO23" s="51">
        <f t="shared" si="3"/>
        <v>7</v>
      </c>
      <c r="AP23" s="51">
        <f t="shared" si="4"/>
        <v>12</v>
      </c>
    </row>
    <row r="24" spans="2:42" ht="18.75" x14ac:dyDescent="0.25">
      <c r="B24" s="37">
        <v>20</v>
      </c>
      <c r="C24" s="141" t="s">
        <v>148</v>
      </c>
      <c r="D24" s="141"/>
      <c r="F24" s="99" t="s">
        <v>228</v>
      </c>
      <c r="G24" s="99" t="s">
        <v>203</v>
      </c>
      <c r="H24" s="99" t="s">
        <v>203</v>
      </c>
      <c r="I24" s="98" t="s">
        <v>204</v>
      </c>
      <c r="J24" s="99" t="s">
        <v>227</v>
      </c>
      <c r="K24" s="99" t="s">
        <v>227</v>
      </c>
      <c r="L24" s="99" t="s">
        <v>228</v>
      </c>
      <c r="M24" s="99" t="s">
        <v>228</v>
      </c>
      <c r="N24" s="98" t="s">
        <v>228</v>
      </c>
      <c r="O24" s="99" t="s">
        <v>203</v>
      </c>
      <c r="P24" s="99" t="s">
        <v>203</v>
      </c>
      <c r="Q24" s="99" t="s">
        <v>204</v>
      </c>
      <c r="R24" s="99" t="s">
        <v>204</v>
      </c>
      <c r="S24" s="98" t="s">
        <v>227</v>
      </c>
      <c r="T24" s="99" t="s">
        <v>228</v>
      </c>
      <c r="U24" s="99" t="s">
        <v>228</v>
      </c>
      <c r="V24" s="99" t="s">
        <v>228</v>
      </c>
      <c r="W24" s="99" t="s">
        <v>203</v>
      </c>
      <c r="X24" s="98" t="s">
        <v>203</v>
      </c>
      <c r="Y24" s="99" t="s">
        <v>204</v>
      </c>
      <c r="Z24" s="99" t="s">
        <v>204</v>
      </c>
      <c r="AA24" s="99" t="s">
        <v>227</v>
      </c>
      <c r="AB24" s="99" t="s">
        <v>228</v>
      </c>
      <c r="AC24" s="99" t="s">
        <v>228</v>
      </c>
      <c r="AD24" s="99" t="s">
        <v>228</v>
      </c>
      <c r="AE24" s="99" t="s">
        <v>203</v>
      </c>
      <c r="AF24" s="99" t="s">
        <v>203</v>
      </c>
      <c r="AG24" s="98" t="s">
        <v>204</v>
      </c>
      <c r="AH24" s="99" t="s">
        <v>204</v>
      </c>
      <c r="AI24" s="99" t="s">
        <v>227</v>
      </c>
      <c r="AJ24" s="99"/>
      <c r="AL24" s="51">
        <f t="shared" si="0"/>
        <v>0</v>
      </c>
      <c r="AM24" s="51">
        <f t="shared" si="1"/>
        <v>8</v>
      </c>
      <c r="AN24" s="51">
        <f t="shared" si="2"/>
        <v>7</v>
      </c>
      <c r="AO24" s="51">
        <f t="shared" si="3"/>
        <v>5</v>
      </c>
      <c r="AP24" s="51">
        <f t="shared" si="4"/>
        <v>10</v>
      </c>
    </row>
    <row r="25" spans="2:42" ht="18.75" x14ac:dyDescent="0.25">
      <c r="B25" s="37">
        <v>21</v>
      </c>
      <c r="C25" s="141" t="s">
        <v>149</v>
      </c>
      <c r="D25" s="141"/>
      <c r="F25" s="98" t="s">
        <v>203</v>
      </c>
      <c r="G25" s="99" t="s">
        <v>203</v>
      </c>
      <c r="H25" s="99" t="s">
        <v>204</v>
      </c>
      <c r="I25" s="99" t="s">
        <v>204</v>
      </c>
      <c r="J25" s="99" t="s">
        <v>227</v>
      </c>
      <c r="K25" s="98" t="s">
        <v>228</v>
      </c>
      <c r="L25" s="99" t="s">
        <v>228</v>
      </c>
      <c r="M25" s="99" t="s">
        <v>228</v>
      </c>
      <c r="N25" s="99" t="s">
        <v>203</v>
      </c>
      <c r="O25" s="99" t="s">
        <v>204</v>
      </c>
      <c r="P25" s="57" t="s">
        <v>204</v>
      </c>
      <c r="Q25" s="57" t="s">
        <v>227</v>
      </c>
      <c r="R25" s="57" t="s">
        <v>227</v>
      </c>
      <c r="S25" s="57" t="s">
        <v>228</v>
      </c>
      <c r="T25" s="52" t="s">
        <v>228</v>
      </c>
      <c r="U25" s="52" t="s">
        <v>228</v>
      </c>
      <c r="V25" s="52" t="s">
        <v>203</v>
      </c>
      <c r="W25" s="52" t="s">
        <v>204</v>
      </c>
      <c r="X25" s="52" t="s">
        <v>204</v>
      </c>
      <c r="Y25" s="52" t="s">
        <v>227</v>
      </c>
      <c r="Z25" s="52" t="s">
        <v>227</v>
      </c>
      <c r="AA25" s="52" t="s">
        <v>228</v>
      </c>
      <c r="AB25" s="52" t="s">
        <v>228</v>
      </c>
      <c r="AC25" s="52" t="s">
        <v>228</v>
      </c>
      <c r="AD25" s="98" t="s">
        <v>203</v>
      </c>
      <c r="AE25" s="99" t="s">
        <v>203</v>
      </c>
      <c r="AF25" s="99" t="s">
        <v>204</v>
      </c>
      <c r="AG25" s="99" t="s">
        <v>227</v>
      </c>
      <c r="AH25" s="99" t="s">
        <v>227</v>
      </c>
      <c r="AI25" s="98" t="s">
        <v>228</v>
      </c>
      <c r="AJ25" s="52"/>
      <c r="AL25" s="51">
        <f t="shared" si="0"/>
        <v>0</v>
      </c>
      <c r="AM25" s="51">
        <f t="shared" si="1"/>
        <v>6</v>
      </c>
      <c r="AN25" s="51">
        <f t="shared" si="2"/>
        <v>7</v>
      </c>
      <c r="AO25" s="51">
        <f t="shared" si="3"/>
        <v>7</v>
      </c>
      <c r="AP25" s="51">
        <f t="shared" si="4"/>
        <v>10</v>
      </c>
    </row>
    <row r="26" spans="2:42" ht="18.75" x14ac:dyDescent="0.25">
      <c r="B26" s="37">
        <v>22</v>
      </c>
      <c r="C26" s="141" t="s">
        <v>238</v>
      </c>
      <c r="D26" s="141"/>
      <c r="F26" s="52" t="s">
        <v>203</v>
      </c>
      <c r="G26" s="52" t="s">
        <v>204</v>
      </c>
      <c r="H26" s="52" t="s">
        <v>204</v>
      </c>
      <c r="I26" s="52" t="s">
        <v>227</v>
      </c>
      <c r="J26" s="52" t="s">
        <v>228</v>
      </c>
      <c r="K26" s="52" t="s">
        <v>228</v>
      </c>
      <c r="L26" s="52" t="s">
        <v>228</v>
      </c>
      <c r="M26" s="52" t="s">
        <v>203</v>
      </c>
      <c r="N26" s="52" t="s">
        <v>204</v>
      </c>
      <c r="O26" s="52" t="s">
        <v>204</v>
      </c>
      <c r="P26" s="52" t="s">
        <v>227</v>
      </c>
      <c r="Q26" s="52" t="s">
        <v>227</v>
      </c>
      <c r="R26" s="52" t="s">
        <v>228</v>
      </c>
      <c r="S26" s="52" t="s">
        <v>228</v>
      </c>
      <c r="T26" s="52" t="s">
        <v>228</v>
      </c>
      <c r="U26" s="52" t="s">
        <v>203</v>
      </c>
      <c r="V26" s="52" t="s">
        <v>203</v>
      </c>
      <c r="W26" s="52" t="s">
        <v>204</v>
      </c>
      <c r="X26" s="52" t="s">
        <v>204</v>
      </c>
      <c r="Y26" s="52" t="s">
        <v>227</v>
      </c>
      <c r="Z26" s="52" t="s">
        <v>228</v>
      </c>
      <c r="AA26" s="52" t="s">
        <v>228</v>
      </c>
      <c r="AB26" s="52" t="s">
        <v>228</v>
      </c>
      <c r="AC26" s="52" t="s">
        <v>203</v>
      </c>
      <c r="AD26" s="52" t="s">
        <v>203</v>
      </c>
      <c r="AE26" s="52" t="s">
        <v>204</v>
      </c>
      <c r="AF26" s="52" t="s">
        <v>227</v>
      </c>
      <c r="AG26" s="52" t="s">
        <v>227</v>
      </c>
      <c r="AH26" s="52" t="s">
        <v>228</v>
      </c>
      <c r="AI26" s="52" t="s">
        <v>228</v>
      </c>
      <c r="AJ26" s="52"/>
      <c r="AL26" s="51">
        <f t="shared" si="0"/>
        <v>0</v>
      </c>
      <c r="AM26" s="51">
        <f t="shared" si="1"/>
        <v>6</v>
      </c>
      <c r="AN26" s="51">
        <f t="shared" si="2"/>
        <v>7</v>
      </c>
      <c r="AO26" s="51">
        <f t="shared" si="3"/>
        <v>6</v>
      </c>
      <c r="AP26" s="51">
        <f t="shared" si="4"/>
        <v>11</v>
      </c>
    </row>
    <row r="27" spans="2:42" ht="18.75" x14ac:dyDescent="0.25">
      <c r="B27" s="37">
        <v>23</v>
      </c>
      <c r="C27" s="141" t="s">
        <v>130</v>
      </c>
      <c r="D27" s="141"/>
      <c r="F27" s="99" t="s">
        <v>229</v>
      </c>
      <c r="G27" s="99" t="s">
        <v>229</v>
      </c>
      <c r="H27" s="99" t="s">
        <v>229</v>
      </c>
      <c r="I27" s="52" t="s">
        <v>229</v>
      </c>
      <c r="J27" s="52" t="s">
        <v>228</v>
      </c>
      <c r="K27" s="52" t="s">
        <v>228</v>
      </c>
      <c r="L27" s="52" t="s">
        <v>203</v>
      </c>
      <c r="M27" s="52" t="s">
        <v>203</v>
      </c>
      <c r="N27" s="52" t="s">
        <v>204</v>
      </c>
      <c r="O27" s="52" t="s">
        <v>227</v>
      </c>
      <c r="P27" s="52" t="s">
        <v>227</v>
      </c>
      <c r="Q27" s="52" t="s">
        <v>228</v>
      </c>
      <c r="R27" s="52" t="s">
        <v>228</v>
      </c>
      <c r="S27" s="52" t="s">
        <v>228</v>
      </c>
      <c r="T27" s="52" t="s">
        <v>203</v>
      </c>
      <c r="U27" s="52" t="s">
        <v>203</v>
      </c>
      <c r="V27" s="52" t="s">
        <v>204</v>
      </c>
      <c r="W27" s="52" t="s">
        <v>227</v>
      </c>
      <c r="X27" s="52" t="s">
        <v>227</v>
      </c>
      <c r="Y27" s="52" t="s">
        <v>228</v>
      </c>
      <c r="Z27" s="52" t="s">
        <v>228</v>
      </c>
      <c r="AA27" s="52" t="s">
        <v>228</v>
      </c>
      <c r="AB27" s="52" t="s">
        <v>203</v>
      </c>
      <c r="AC27" s="99" t="s">
        <v>203</v>
      </c>
      <c r="AD27" s="99" t="s">
        <v>204</v>
      </c>
      <c r="AE27" s="99" t="s">
        <v>126</v>
      </c>
      <c r="AF27" s="99" t="s">
        <v>227</v>
      </c>
      <c r="AG27" s="52" t="s">
        <v>228</v>
      </c>
      <c r="AH27" s="52" t="s">
        <v>228</v>
      </c>
      <c r="AI27" s="52" t="s">
        <v>228</v>
      </c>
      <c r="AJ27" s="99"/>
      <c r="AL27" s="51">
        <f t="shared" si="0"/>
        <v>0</v>
      </c>
      <c r="AM27" s="51">
        <f t="shared" si="1"/>
        <v>6</v>
      </c>
      <c r="AN27" s="51">
        <f t="shared" si="2"/>
        <v>3</v>
      </c>
      <c r="AO27" s="51">
        <f t="shared" si="3"/>
        <v>5</v>
      </c>
      <c r="AP27" s="51">
        <f t="shared" si="4"/>
        <v>11</v>
      </c>
    </row>
    <row r="28" spans="2:42" ht="18.75" x14ac:dyDescent="0.25">
      <c r="B28" s="37">
        <v>24</v>
      </c>
      <c r="C28" s="141" t="s">
        <v>151</v>
      </c>
      <c r="D28" s="141"/>
      <c r="F28" s="52" t="s">
        <v>204</v>
      </c>
      <c r="G28" s="52" t="s">
        <v>227</v>
      </c>
      <c r="H28" s="52" t="s">
        <v>228</v>
      </c>
      <c r="I28" s="52" t="s">
        <v>228</v>
      </c>
      <c r="J28" s="52" t="s">
        <v>228</v>
      </c>
      <c r="K28" s="52" t="s">
        <v>203</v>
      </c>
      <c r="L28" s="52" t="s">
        <v>203</v>
      </c>
      <c r="M28" s="52" t="s">
        <v>204</v>
      </c>
      <c r="N28" s="52" t="s">
        <v>204</v>
      </c>
      <c r="O28" s="52" t="s">
        <v>227</v>
      </c>
      <c r="P28" s="52" t="s">
        <v>228</v>
      </c>
      <c r="Q28" s="52" t="s">
        <v>228</v>
      </c>
      <c r="R28" s="52" t="s">
        <v>228</v>
      </c>
      <c r="S28" s="52" t="s">
        <v>203</v>
      </c>
      <c r="T28" s="52" t="s">
        <v>203</v>
      </c>
      <c r="U28" s="52" t="s">
        <v>204</v>
      </c>
      <c r="V28" s="52" t="s">
        <v>227</v>
      </c>
      <c r="W28" s="52" t="s">
        <v>227</v>
      </c>
      <c r="X28" s="52" t="s">
        <v>228</v>
      </c>
      <c r="Y28" s="52" t="s">
        <v>228</v>
      </c>
      <c r="Z28" s="52" t="s">
        <v>228</v>
      </c>
      <c r="AA28" s="52" t="s">
        <v>203</v>
      </c>
      <c r="AB28" s="52" t="s">
        <v>204</v>
      </c>
      <c r="AC28" s="52" t="s">
        <v>204</v>
      </c>
      <c r="AD28" s="52" t="s">
        <v>227</v>
      </c>
      <c r="AE28" s="52" t="s">
        <v>227</v>
      </c>
      <c r="AF28" s="52" t="s">
        <v>228</v>
      </c>
      <c r="AG28" s="52" t="s">
        <v>228</v>
      </c>
      <c r="AH28" s="52" t="s">
        <v>228</v>
      </c>
      <c r="AI28" s="52" t="s">
        <v>203</v>
      </c>
      <c r="AJ28" s="52"/>
      <c r="AL28" s="51">
        <f t="shared" si="0"/>
        <v>0</v>
      </c>
      <c r="AM28" s="51">
        <f t="shared" si="1"/>
        <v>6</v>
      </c>
      <c r="AN28" s="51">
        <f t="shared" si="2"/>
        <v>6</v>
      </c>
      <c r="AO28" s="51">
        <f t="shared" si="3"/>
        <v>6</v>
      </c>
      <c r="AP28" s="51">
        <f t="shared" si="4"/>
        <v>12</v>
      </c>
    </row>
    <row r="29" spans="2:42" ht="18.75" x14ac:dyDescent="0.25">
      <c r="B29" s="37">
        <v>25</v>
      </c>
      <c r="C29" s="141" t="s">
        <v>152</v>
      </c>
      <c r="D29" s="141"/>
      <c r="F29" s="52" t="s">
        <v>227</v>
      </c>
      <c r="G29" s="52" t="s">
        <v>228</v>
      </c>
      <c r="H29" s="52" t="s">
        <v>228</v>
      </c>
      <c r="I29" s="52" t="s">
        <v>228</v>
      </c>
      <c r="J29" s="52" t="s">
        <v>203</v>
      </c>
      <c r="K29" s="52" t="s">
        <v>204</v>
      </c>
      <c r="L29" s="52" t="s">
        <v>204</v>
      </c>
      <c r="M29" s="52" t="s">
        <v>227</v>
      </c>
      <c r="N29" s="52" t="s">
        <v>227</v>
      </c>
      <c r="O29" s="52" t="s">
        <v>228</v>
      </c>
      <c r="P29" s="52" t="s">
        <v>228</v>
      </c>
      <c r="Q29" s="52" t="s">
        <v>228</v>
      </c>
      <c r="R29" s="52" t="s">
        <v>203</v>
      </c>
      <c r="S29" s="52" t="s">
        <v>203</v>
      </c>
      <c r="T29" s="52" t="s">
        <v>204</v>
      </c>
      <c r="U29" s="52" t="s">
        <v>204</v>
      </c>
      <c r="V29" s="52" t="s">
        <v>227</v>
      </c>
      <c r="W29" s="52" t="s">
        <v>228</v>
      </c>
      <c r="X29" s="52" t="s">
        <v>228</v>
      </c>
      <c r="Y29" s="52" t="s">
        <v>228</v>
      </c>
      <c r="Z29" s="52" t="s">
        <v>203</v>
      </c>
      <c r="AA29" s="52" t="s">
        <v>204</v>
      </c>
      <c r="AB29" s="52" t="s">
        <v>204</v>
      </c>
      <c r="AC29" s="52" t="s">
        <v>227</v>
      </c>
      <c r="AD29" s="52" t="s">
        <v>227</v>
      </c>
      <c r="AE29" s="52" t="s">
        <v>228</v>
      </c>
      <c r="AF29" s="52" t="s">
        <v>228</v>
      </c>
      <c r="AG29" s="52" t="s">
        <v>228</v>
      </c>
      <c r="AH29" s="52" t="s">
        <v>203</v>
      </c>
      <c r="AI29" s="52" t="s">
        <v>204</v>
      </c>
      <c r="AJ29" s="52"/>
      <c r="AL29" s="51">
        <f t="shared" si="0"/>
        <v>0</v>
      </c>
      <c r="AM29" s="51">
        <f t="shared" si="1"/>
        <v>5</v>
      </c>
      <c r="AN29" s="51">
        <f t="shared" si="2"/>
        <v>7</v>
      </c>
      <c r="AO29" s="51">
        <f t="shared" si="3"/>
        <v>6</v>
      </c>
      <c r="AP29" s="51">
        <f t="shared" si="4"/>
        <v>12</v>
      </c>
    </row>
    <row r="30" spans="2:42" ht="18.75" x14ac:dyDescent="0.25">
      <c r="B30" s="37">
        <v>26</v>
      </c>
      <c r="C30" s="137" t="s">
        <v>153</v>
      </c>
      <c r="D30" s="138"/>
      <c r="F30" s="52" t="s">
        <v>228</v>
      </c>
      <c r="G30" s="52" t="s">
        <v>228</v>
      </c>
      <c r="H30" s="52" t="s">
        <v>228</v>
      </c>
      <c r="I30" s="52" t="s">
        <v>203</v>
      </c>
      <c r="J30" s="52" t="s">
        <v>204</v>
      </c>
      <c r="K30" s="52" t="s">
        <v>227</v>
      </c>
      <c r="L30" s="52" t="s">
        <v>227</v>
      </c>
      <c r="M30" s="52" t="s">
        <v>227</v>
      </c>
      <c r="N30" s="52" t="s">
        <v>228</v>
      </c>
      <c r="O30" s="52" t="s">
        <v>228</v>
      </c>
      <c r="P30" s="52" t="s">
        <v>228</v>
      </c>
      <c r="Q30" s="52" t="s">
        <v>203</v>
      </c>
      <c r="R30" s="52" t="s">
        <v>203</v>
      </c>
      <c r="S30" s="52" t="s">
        <v>204</v>
      </c>
      <c r="T30" s="52" t="s">
        <v>227</v>
      </c>
      <c r="U30" s="52" t="s">
        <v>227</v>
      </c>
      <c r="V30" s="52" t="s">
        <v>228</v>
      </c>
      <c r="W30" s="52" t="s">
        <v>228</v>
      </c>
      <c r="X30" s="52" t="s">
        <v>228</v>
      </c>
      <c r="Y30" s="52" t="s">
        <v>126</v>
      </c>
      <c r="Z30" s="52" t="s">
        <v>203</v>
      </c>
      <c r="AA30" s="52" t="s">
        <v>204</v>
      </c>
      <c r="AB30" s="52" t="s">
        <v>227</v>
      </c>
      <c r="AC30" s="52" t="s">
        <v>227</v>
      </c>
      <c r="AD30" s="52" t="s">
        <v>228</v>
      </c>
      <c r="AE30" s="52" t="s">
        <v>228</v>
      </c>
      <c r="AF30" s="52" t="s">
        <v>228</v>
      </c>
      <c r="AG30" s="52" t="s">
        <v>203</v>
      </c>
      <c r="AH30" s="52" t="s">
        <v>203</v>
      </c>
      <c r="AI30" s="52" t="s">
        <v>204</v>
      </c>
      <c r="AJ30" s="52"/>
      <c r="AL30" s="51">
        <f t="shared" si="0"/>
        <v>0</v>
      </c>
      <c r="AM30" s="51">
        <f t="shared" si="1"/>
        <v>6</v>
      </c>
      <c r="AN30" s="51">
        <f t="shared" si="2"/>
        <v>4</v>
      </c>
      <c r="AO30" s="51">
        <f t="shared" si="3"/>
        <v>7</v>
      </c>
      <c r="AP30" s="51">
        <f t="shared" si="4"/>
        <v>12</v>
      </c>
    </row>
    <row r="31" spans="2:42" ht="18.75" x14ac:dyDescent="0.25">
      <c r="B31" s="37">
        <v>27</v>
      </c>
      <c r="C31" s="137" t="s">
        <v>235</v>
      </c>
      <c r="D31" s="138"/>
      <c r="F31" s="52" t="s">
        <v>228</v>
      </c>
      <c r="G31" s="52" t="s">
        <v>228</v>
      </c>
      <c r="H31" s="52" t="s">
        <v>203</v>
      </c>
      <c r="I31" s="52" t="s">
        <v>203</v>
      </c>
      <c r="J31" s="52" t="s">
        <v>204</v>
      </c>
      <c r="K31" s="52" t="s">
        <v>227</v>
      </c>
      <c r="L31" s="52" t="s">
        <v>227</v>
      </c>
      <c r="M31" s="52" t="s">
        <v>228</v>
      </c>
      <c r="N31" s="52" t="s">
        <v>228</v>
      </c>
      <c r="O31" s="52" t="s">
        <v>228</v>
      </c>
      <c r="P31" s="52" t="s">
        <v>203</v>
      </c>
      <c r="Q31" s="52" t="s">
        <v>204</v>
      </c>
      <c r="R31" s="52" t="s">
        <v>204</v>
      </c>
      <c r="S31" s="52" t="s">
        <v>227</v>
      </c>
      <c r="T31" s="52" t="s">
        <v>227</v>
      </c>
      <c r="U31" s="52" t="s">
        <v>228</v>
      </c>
      <c r="V31" s="52" t="s">
        <v>228</v>
      </c>
      <c r="W31" s="52" t="s">
        <v>228</v>
      </c>
      <c r="X31" s="52" t="s">
        <v>203</v>
      </c>
      <c r="Y31" s="52" t="s">
        <v>203</v>
      </c>
      <c r="Z31" s="52" t="s">
        <v>204</v>
      </c>
      <c r="AA31" s="52" t="s">
        <v>227</v>
      </c>
      <c r="AB31" s="52" t="s">
        <v>227</v>
      </c>
      <c r="AC31" s="52" t="s">
        <v>228</v>
      </c>
      <c r="AD31" s="52" t="s">
        <v>228</v>
      </c>
      <c r="AE31" s="52" t="s">
        <v>228</v>
      </c>
      <c r="AF31" s="52" t="s">
        <v>203</v>
      </c>
      <c r="AG31" s="52" t="s">
        <v>203</v>
      </c>
      <c r="AH31" s="52" t="s">
        <v>204</v>
      </c>
      <c r="AI31" s="52" t="s">
        <v>227</v>
      </c>
      <c r="AJ31" s="52"/>
      <c r="AL31" s="51">
        <f t="shared" si="0"/>
        <v>0</v>
      </c>
      <c r="AM31" s="51">
        <f t="shared" si="1"/>
        <v>7</v>
      </c>
      <c r="AN31" s="51">
        <f t="shared" si="2"/>
        <v>5</v>
      </c>
      <c r="AO31" s="51">
        <f t="shared" si="3"/>
        <v>7</v>
      </c>
      <c r="AP31" s="51">
        <f t="shared" si="4"/>
        <v>11</v>
      </c>
    </row>
    <row r="32" spans="2:42" ht="18.75" x14ac:dyDescent="0.25">
      <c r="B32" s="37">
        <v>28</v>
      </c>
      <c r="C32" s="137" t="s">
        <v>187</v>
      </c>
      <c r="D32" s="138"/>
      <c r="F32" s="52" t="s">
        <v>228</v>
      </c>
      <c r="G32" s="52" t="s">
        <v>203</v>
      </c>
      <c r="H32" s="52" t="s">
        <v>203</v>
      </c>
      <c r="I32" s="52" t="s">
        <v>204</v>
      </c>
      <c r="J32" s="52" t="s">
        <v>227</v>
      </c>
      <c r="K32" s="52" t="s">
        <v>228</v>
      </c>
      <c r="L32" s="52" t="s">
        <v>126</v>
      </c>
      <c r="M32" s="52" t="s">
        <v>228</v>
      </c>
      <c r="N32" s="52" t="s">
        <v>228</v>
      </c>
      <c r="O32" s="52" t="s">
        <v>203</v>
      </c>
      <c r="P32" s="52" t="s">
        <v>203</v>
      </c>
      <c r="Q32" s="52" t="s">
        <v>204</v>
      </c>
      <c r="R32" s="52" t="s">
        <v>204</v>
      </c>
      <c r="S32" s="52" t="s">
        <v>227</v>
      </c>
      <c r="T32" s="52" t="s">
        <v>228</v>
      </c>
      <c r="U32" s="52" t="s">
        <v>228</v>
      </c>
      <c r="V32" s="52" t="s">
        <v>228</v>
      </c>
      <c r="W32" s="52" t="s">
        <v>203</v>
      </c>
      <c r="X32" s="52" t="s">
        <v>203</v>
      </c>
      <c r="Y32" s="52" t="s">
        <v>204</v>
      </c>
      <c r="Z32" s="52" t="s">
        <v>204</v>
      </c>
      <c r="AA32" s="52" t="s">
        <v>227</v>
      </c>
      <c r="AB32" s="52" t="s">
        <v>228</v>
      </c>
      <c r="AC32" s="52" t="s">
        <v>228</v>
      </c>
      <c r="AD32" s="52" t="s">
        <v>228</v>
      </c>
      <c r="AE32" s="52" t="s">
        <v>203</v>
      </c>
      <c r="AF32" s="52" t="s">
        <v>203</v>
      </c>
      <c r="AG32" s="52" t="s">
        <v>204</v>
      </c>
      <c r="AH32" s="52" t="s">
        <v>204</v>
      </c>
      <c r="AI32" s="52" t="s">
        <v>227</v>
      </c>
      <c r="AJ32" s="52"/>
      <c r="AL32" s="51">
        <f t="shared" si="0"/>
        <v>0</v>
      </c>
      <c r="AM32" s="51">
        <f t="shared" si="1"/>
        <v>8</v>
      </c>
      <c r="AN32" s="51">
        <f t="shared" si="2"/>
        <v>7</v>
      </c>
      <c r="AO32" s="51">
        <f t="shared" si="3"/>
        <v>4</v>
      </c>
      <c r="AP32" s="51">
        <f t="shared" si="4"/>
        <v>10</v>
      </c>
    </row>
    <row r="33" spans="2:42" ht="18.75" x14ac:dyDescent="0.25">
      <c r="B33" s="37">
        <v>29</v>
      </c>
      <c r="C33" s="137" t="s">
        <v>186</v>
      </c>
      <c r="D33" s="138"/>
      <c r="F33" s="52" t="s">
        <v>203</v>
      </c>
      <c r="G33" s="52" t="s">
        <v>203</v>
      </c>
      <c r="H33" s="52" t="s">
        <v>204</v>
      </c>
      <c r="I33" s="52" t="s">
        <v>227</v>
      </c>
      <c r="J33" s="52" t="s">
        <v>227</v>
      </c>
      <c r="K33" s="52" t="s">
        <v>228</v>
      </c>
      <c r="L33" s="52" t="s">
        <v>228</v>
      </c>
      <c r="M33" s="52" t="s">
        <v>228</v>
      </c>
      <c r="N33" s="52" t="s">
        <v>203</v>
      </c>
      <c r="O33" s="52" t="s">
        <v>204</v>
      </c>
      <c r="P33" s="52" t="s">
        <v>204</v>
      </c>
      <c r="Q33" s="52" t="s">
        <v>227</v>
      </c>
      <c r="R33" s="52" t="s">
        <v>227</v>
      </c>
      <c r="S33" s="52" t="s">
        <v>228</v>
      </c>
      <c r="T33" s="52" t="s">
        <v>228</v>
      </c>
      <c r="U33" s="52" t="s">
        <v>228</v>
      </c>
      <c r="V33" s="52" t="s">
        <v>203</v>
      </c>
      <c r="W33" s="52" t="s">
        <v>203</v>
      </c>
      <c r="X33" s="52" t="s">
        <v>204</v>
      </c>
      <c r="Y33" s="52" t="s">
        <v>204</v>
      </c>
      <c r="Z33" s="52" t="s">
        <v>227</v>
      </c>
      <c r="AA33" s="52" t="s">
        <v>228</v>
      </c>
      <c r="AB33" s="52" t="s">
        <v>228</v>
      </c>
      <c r="AC33" s="52" t="s">
        <v>228</v>
      </c>
      <c r="AD33" s="52" t="s">
        <v>203</v>
      </c>
      <c r="AE33" s="52" t="s">
        <v>126</v>
      </c>
      <c r="AF33" s="52" t="s">
        <v>204</v>
      </c>
      <c r="AG33" s="52" t="s">
        <v>204</v>
      </c>
      <c r="AH33" s="52" t="s">
        <v>227</v>
      </c>
      <c r="AI33" s="52" t="s">
        <v>228</v>
      </c>
      <c r="AJ33" s="52"/>
      <c r="AL33" s="51">
        <f t="shared" si="0"/>
        <v>0</v>
      </c>
      <c r="AM33" s="51">
        <f t="shared" si="1"/>
        <v>6</v>
      </c>
      <c r="AN33" s="51">
        <f t="shared" si="2"/>
        <v>7</v>
      </c>
      <c r="AO33" s="51">
        <f t="shared" si="3"/>
        <v>6</v>
      </c>
      <c r="AP33" s="51">
        <f t="shared" si="4"/>
        <v>10</v>
      </c>
    </row>
    <row r="34" spans="2:42" ht="18.75" x14ac:dyDescent="0.25">
      <c r="B34" s="37">
        <v>30</v>
      </c>
      <c r="C34" s="141" t="s">
        <v>154</v>
      </c>
      <c r="D34" s="141"/>
      <c r="F34" s="52" t="s">
        <v>203</v>
      </c>
      <c r="G34" s="52" t="s">
        <v>204</v>
      </c>
      <c r="H34" s="52" t="s">
        <v>227</v>
      </c>
      <c r="I34" s="52" t="s">
        <v>227</v>
      </c>
      <c r="J34" s="52" t="s">
        <v>228</v>
      </c>
      <c r="K34" s="52" t="s">
        <v>228</v>
      </c>
      <c r="L34" s="52" t="s">
        <v>228</v>
      </c>
      <c r="M34" s="52" t="s">
        <v>229</v>
      </c>
      <c r="N34" s="52" t="s">
        <v>229</v>
      </c>
      <c r="O34" s="52" t="s">
        <v>229</v>
      </c>
      <c r="P34" s="52" t="s">
        <v>229</v>
      </c>
      <c r="Q34" s="52" t="s">
        <v>229</v>
      </c>
      <c r="R34" s="52" t="s">
        <v>229</v>
      </c>
      <c r="S34" s="52" t="s">
        <v>229</v>
      </c>
      <c r="T34" s="52" t="s">
        <v>229</v>
      </c>
      <c r="U34" s="98" t="s">
        <v>229</v>
      </c>
      <c r="V34" s="99" t="s">
        <v>229</v>
      </c>
      <c r="W34" s="99" t="s">
        <v>229</v>
      </c>
      <c r="X34" s="99" t="s">
        <v>229</v>
      </c>
      <c r="Y34" s="99" t="s">
        <v>229</v>
      </c>
      <c r="Z34" s="52" t="s">
        <v>229</v>
      </c>
      <c r="AA34" s="52" t="s">
        <v>228</v>
      </c>
      <c r="AB34" s="52" t="s">
        <v>228</v>
      </c>
      <c r="AC34" s="52" t="s">
        <v>203</v>
      </c>
      <c r="AD34" s="52" t="s">
        <v>203</v>
      </c>
      <c r="AE34" s="52" t="s">
        <v>204</v>
      </c>
      <c r="AF34" s="52" t="s">
        <v>204</v>
      </c>
      <c r="AG34" s="52" t="s">
        <v>227</v>
      </c>
      <c r="AH34" s="52" t="s">
        <v>228</v>
      </c>
      <c r="AI34" s="52" t="s">
        <v>228</v>
      </c>
      <c r="AJ34" s="52"/>
      <c r="AL34" s="51">
        <f t="shared" si="0"/>
        <v>0</v>
      </c>
      <c r="AM34" s="51">
        <f t="shared" si="1"/>
        <v>3</v>
      </c>
      <c r="AN34" s="51">
        <f t="shared" si="2"/>
        <v>3</v>
      </c>
      <c r="AO34" s="51">
        <f t="shared" si="3"/>
        <v>3</v>
      </c>
      <c r="AP34" s="51">
        <f t="shared" si="4"/>
        <v>7</v>
      </c>
    </row>
    <row r="35" spans="2:42" ht="18.75" x14ac:dyDescent="0.25">
      <c r="B35" s="37">
        <v>31</v>
      </c>
      <c r="C35" s="141" t="s">
        <v>155</v>
      </c>
      <c r="D35" s="141"/>
      <c r="F35" s="52" t="s">
        <v>204</v>
      </c>
      <c r="G35" s="52" t="s">
        <v>204</v>
      </c>
      <c r="H35" s="52" t="s">
        <v>227</v>
      </c>
      <c r="I35" s="52" t="s">
        <v>228</v>
      </c>
      <c r="J35" s="52" t="s">
        <v>228</v>
      </c>
      <c r="K35" s="52" t="s">
        <v>228</v>
      </c>
      <c r="L35" s="52" t="s">
        <v>203</v>
      </c>
      <c r="M35" s="52" t="s">
        <v>203</v>
      </c>
      <c r="N35" s="52" t="s">
        <v>204</v>
      </c>
      <c r="O35" s="52" t="s">
        <v>227</v>
      </c>
      <c r="P35" s="52" t="s">
        <v>227</v>
      </c>
      <c r="Q35" s="52" t="s">
        <v>228</v>
      </c>
      <c r="R35" s="52" t="s">
        <v>228</v>
      </c>
      <c r="S35" s="52" t="s">
        <v>228</v>
      </c>
      <c r="T35" s="52" t="s">
        <v>203</v>
      </c>
      <c r="U35" s="52" t="s">
        <v>203</v>
      </c>
      <c r="V35" s="52" t="s">
        <v>204</v>
      </c>
      <c r="W35" s="52" t="s">
        <v>204</v>
      </c>
      <c r="X35" s="52" t="s">
        <v>227</v>
      </c>
      <c r="Y35" s="52" t="s">
        <v>228</v>
      </c>
      <c r="Z35" s="52" t="s">
        <v>228</v>
      </c>
      <c r="AA35" s="52" t="s">
        <v>228</v>
      </c>
      <c r="AB35" s="52" t="s">
        <v>203</v>
      </c>
      <c r="AC35" s="52" t="s">
        <v>203</v>
      </c>
      <c r="AD35" s="52" t="s">
        <v>204</v>
      </c>
      <c r="AE35" s="52" t="s">
        <v>227</v>
      </c>
      <c r="AF35" s="52" t="s">
        <v>227</v>
      </c>
      <c r="AG35" s="52" t="s">
        <v>228</v>
      </c>
      <c r="AH35" s="52" t="s">
        <v>228</v>
      </c>
      <c r="AI35" s="52" t="s">
        <v>228</v>
      </c>
      <c r="AJ35" s="52"/>
      <c r="AL35" s="51">
        <f t="shared" si="0"/>
        <v>0</v>
      </c>
      <c r="AM35" s="51">
        <f t="shared" si="1"/>
        <v>6</v>
      </c>
      <c r="AN35" s="51">
        <f t="shared" si="2"/>
        <v>6</v>
      </c>
      <c r="AO35" s="51">
        <f t="shared" si="3"/>
        <v>6</v>
      </c>
      <c r="AP35" s="51">
        <f t="shared" si="4"/>
        <v>12</v>
      </c>
    </row>
    <row r="36" spans="2:42" ht="18.75" x14ac:dyDescent="0.25">
      <c r="B36" s="37">
        <v>32</v>
      </c>
      <c r="C36" s="137" t="s">
        <v>156</v>
      </c>
      <c r="D36" s="138"/>
      <c r="F36" s="52" t="s">
        <v>204</v>
      </c>
      <c r="G36" s="52" t="s">
        <v>227</v>
      </c>
      <c r="H36" s="52" t="s">
        <v>228</v>
      </c>
      <c r="I36" s="52" t="s">
        <v>228</v>
      </c>
      <c r="J36" s="52" t="s">
        <v>228</v>
      </c>
      <c r="K36" s="52" t="s">
        <v>203</v>
      </c>
      <c r="L36" s="52" t="s">
        <v>204</v>
      </c>
      <c r="M36" s="52" t="s">
        <v>204</v>
      </c>
      <c r="N36" s="52" t="s">
        <v>227</v>
      </c>
      <c r="O36" s="52" t="s">
        <v>227</v>
      </c>
      <c r="P36" s="52" t="s">
        <v>228</v>
      </c>
      <c r="Q36" s="52" t="s">
        <v>228</v>
      </c>
      <c r="R36" s="52" t="s">
        <v>228</v>
      </c>
      <c r="S36" s="52" t="s">
        <v>203</v>
      </c>
      <c r="T36" s="52" t="s">
        <v>204</v>
      </c>
      <c r="U36" s="52" t="s">
        <v>204</v>
      </c>
      <c r="V36" s="52" t="s">
        <v>227</v>
      </c>
      <c r="W36" s="52" t="s">
        <v>227</v>
      </c>
      <c r="X36" s="52" t="s">
        <v>228</v>
      </c>
      <c r="Y36" s="52" t="s">
        <v>228</v>
      </c>
      <c r="Z36" s="52" t="s">
        <v>228</v>
      </c>
      <c r="AA36" s="52" t="s">
        <v>203</v>
      </c>
      <c r="AB36" s="52" t="s">
        <v>203</v>
      </c>
      <c r="AC36" s="52" t="s">
        <v>204</v>
      </c>
      <c r="AD36" s="52" t="s">
        <v>204</v>
      </c>
      <c r="AE36" s="52" t="s">
        <v>227</v>
      </c>
      <c r="AF36" s="52" t="s">
        <v>228</v>
      </c>
      <c r="AG36" s="52" t="s">
        <v>228</v>
      </c>
      <c r="AH36" s="52" t="s">
        <v>228</v>
      </c>
      <c r="AI36" s="52" t="s">
        <v>203</v>
      </c>
      <c r="AJ36" s="52"/>
      <c r="AL36" s="51">
        <f t="shared" si="0"/>
        <v>0</v>
      </c>
      <c r="AM36" s="51">
        <f t="shared" si="1"/>
        <v>5</v>
      </c>
      <c r="AN36" s="51">
        <f t="shared" si="2"/>
        <v>7</v>
      </c>
      <c r="AO36" s="51">
        <f t="shared" si="3"/>
        <v>6</v>
      </c>
      <c r="AP36" s="51">
        <f t="shared" si="4"/>
        <v>12</v>
      </c>
    </row>
    <row r="37" spans="2:42" ht="18.75" x14ac:dyDescent="0.25">
      <c r="B37" s="37">
        <v>33</v>
      </c>
      <c r="C37" s="141" t="s">
        <v>157</v>
      </c>
      <c r="D37" s="141"/>
      <c r="F37" s="52" t="s">
        <v>227</v>
      </c>
      <c r="G37" s="52" t="s">
        <v>228</v>
      </c>
      <c r="H37" s="52" t="s">
        <v>228</v>
      </c>
      <c r="I37" s="52" t="s">
        <v>228</v>
      </c>
      <c r="J37" s="52" t="s">
        <v>203</v>
      </c>
      <c r="K37" s="52" t="s">
        <v>203</v>
      </c>
      <c r="L37" s="52" t="s">
        <v>204</v>
      </c>
      <c r="M37" s="52" t="s">
        <v>204</v>
      </c>
      <c r="N37" s="52" t="s">
        <v>126</v>
      </c>
      <c r="O37" s="52" t="s">
        <v>228</v>
      </c>
      <c r="P37" s="52" t="s">
        <v>228</v>
      </c>
      <c r="Q37" s="52" t="s">
        <v>228</v>
      </c>
      <c r="R37" s="52" t="s">
        <v>203</v>
      </c>
      <c r="S37" s="52" t="s">
        <v>203</v>
      </c>
      <c r="T37" s="52" t="s">
        <v>204</v>
      </c>
      <c r="U37" s="52" t="s">
        <v>204</v>
      </c>
      <c r="V37" s="52" t="s">
        <v>227</v>
      </c>
      <c r="W37" s="52" t="s">
        <v>228</v>
      </c>
      <c r="X37" s="52" t="s">
        <v>228</v>
      </c>
      <c r="Y37" s="52" t="s">
        <v>228</v>
      </c>
      <c r="Z37" s="52" t="s">
        <v>203</v>
      </c>
      <c r="AA37" s="52" t="s">
        <v>203</v>
      </c>
      <c r="AB37" s="113" t="s">
        <v>204</v>
      </c>
      <c r="AC37" s="52" t="s">
        <v>227</v>
      </c>
      <c r="AD37" s="52" t="s">
        <v>227</v>
      </c>
      <c r="AE37" s="52" t="s">
        <v>228</v>
      </c>
      <c r="AF37" s="52" t="s">
        <v>228</v>
      </c>
      <c r="AG37" s="52" t="s">
        <v>228</v>
      </c>
      <c r="AH37" s="52" t="s">
        <v>203</v>
      </c>
      <c r="AI37" s="52" t="s">
        <v>204</v>
      </c>
      <c r="AJ37" s="52"/>
      <c r="AL37" s="51">
        <f t="shared" si="0"/>
        <v>0</v>
      </c>
      <c r="AM37" s="51">
        <f t="shared" si="1"/>
        <v>7</v>
      </c>
      <c r="AN37" s="51">
        <f t="shared" si="2"/>
        <v>6</v>
      </c>
      <c r="AO37" s="51">
        <f t="shared" si="3"/>
        <v>4</v>
      </c>
      <c r="AP37" s="51">
        <f t="shared" si="4"/>
        <v>12</v>
      </c>
    </row>
    <row r="38" spans="2:42" ht="19.5" thickBot="1" x14ac:dyDescent="0.3">
      <c r="B38" s="37">
        <v>36</v>
      </c>
      <c r="C38" s="238" t="s">
        <v>239</v>
      </c>
      <c r="D38" s="238"/>
      <c r="F38" s="61" t="s">
        <v>213</v>
      </c>
      <c r="G38" s="61" t="s">
        <v>203</v>
      </c>
      <c r="H38" s="61" t="s">
        <v>203</v>
      </c>
      <c r="I38" s="61" t="s">
        <v>228</v>
      </c>
      <c r="J38" s="61" t="s">
        <v>228</v>
      </c>
      <c r="K38" s="61" t="s">
        <v>213</v>
      </c>
      <c r="L38" s="61" t="s">
        <v>213</v>
      </c>
      <c r="M38" s="61" t="s">
        <v>213</v>
      </c>
      <c r="N38" s="61" t="s">
        <v>203</v>
      </c>
      <c r="O38" s="61" t="s">
        <v>203</v>
      </c>
      <c r="P38" s="61" t="s">
        <v>228</v>
      </c>
      <c r="Q38" s="61" t="s">
        <v>228</v>
      </c>
      <c r="R38" s="61" t="s">
        <v>213</v>
      </c>
      <c r="S38" s="61" t="s">
        <v>213</v>
      </c>
      <c r="T38" s="61" t="s">
        <v>213</v>
      </c>
      <c r="U38" s="61" t="s">
        <v>203</v>
      </c>
      <c r="V38" s="61" t="s">
        <v>203</v>
      </c>
      <c r="W38" s="61" t="s">
        <v>228</v>
      </c>
      <c r="X38" s="61" t="s">
        <v>228</v>
      </c>
      <c r="Y38" s="61" t="s">
        <v>213</v>
      </c>
      <c r="Z38" s="61" t="s">
        <v>213</v>
      </c>
      <c r="AA38" s="61" t="s">
        <v>213</v>
      </c>
      <c r="AB38" s="61" t="s">
        <v>203</v>
      </c>
      <c r="AC38" s="61" t="s">
        <v>203</v>
      </c>
      <c r="AD38" s="61" t="s">
        <v>228</v>
      </c>
      <c r="AE38" s="61" t="s">
        <v>228</v>
      </c>
      <c r="AF38" s="61" t="s">
        <v>213</v>
      </c>
      <c r="AG38" s="61" t="s">
        <v>213</v>
      </c>
      <c r="AH38" s="61" t="s">
        <v>213</v>
      </c>
      <c r="AI38" s="61" t="s">
        <v>203</v>
      </c>
      <c r="AJ38" s="61"/>
      <c r="AL38" s="51">
        <f t="shared" si="0"/>
        <v>0</v>
      </c>
      <c r="AM38" s="51">
        <f t="shared" si="1"/>
        <v>22</v>
      </c>
      <c r="AN38" s="51">
        <f t="shared" si="2"/>
        <v>0</v>
      </c>
      <c r="AO38" s="51">
        <f t="shared" si="3"/>
        <v>0</v>
      </c>
      <c r="AP38" s="51">
        <f t="shared" si="4"/>
        <v>8</v>
      </c>
    </row>
    <row r="39" spans="2:42" x14ac:dyDescent="0.25">
      <c r="F39" s="20" t="s">
        <v>94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</row>
    <row r="40" spans="2:42" ht="18.75" x14ac:dyDescent="0.3">
      <c r="C40" s="171" t="s">
        <v>91</v>
      </c>
      <c r="D40" s="171"/>
      <c r="E40" s="36"/>
      <c r="F40" s="37">
        <f>COUNTIF(F$5:F$37,"M*")</f>
        <v>6</v>
      </c>
      <c r="G40" s="37">
        <f t="shared" ref="G40:AJ40" si="5">COUNTIF(G$5:G$37,"M*")</f>
        <v>5</v>
      </c>
      <c r="H40" s="37">
        <f t="shared" si="5"/>
        <v>5</v>
      </c>
      <c r="I40" s="37">
        <f t="shared" si="5"/>
        <v>6</v>
      </c>
      <c r="J40" s="37">
        <f t="shared" si="5"/>
        <v>6</v>
      </c>
      <c r="K40" s="37">
        <f t="shared" si="5"/>
        <v>6</v>
      </c>
      <c r="L40" s="37">
        <f t="shared" si="5"/>
        <v>6</v>
      </c>
      <c r="M40" s="37">
        <f t="shared" si="5"/>
        <v>6</v>
      </c>
      <c r="N40" s="37">
        <f t="shared" si="5"/>
        <v>7</v>
      </c>
      <c r="O40" s="37">
        <f t="shared" si="5"/>
        <v>6</v>
      </c>
      <c r="P40" s="37">
        <f t="shared" si="5"/>
        <v>5</v>
      </c>
      <c r="Q40" s="37">
        <f t="shared" si="5"/>
        <v>5</v>
      </c>
      <c r="R40" s="37">
        <f t="shared" si="5"/>
        <v>5</v>
      </c>
      <c r="S40" s="37">
        <f t="shared" si="5"/>
        <v>5</v>
      </c>
      <c r="T40" s="37">
        <f t="shared" si="5"/>
        <v>6</v>
      </c>
      <c r="U40" s="37">
        <f t="shared" si="5"/>
        <v>6</v>
      </c>
      <c r="V40" s="37">
        <f t="shared" si="5"/>
        <v>6</v>
      </c>
      <c r="W40" s="37">
        <f>COUNTIF(W$5:W$37,"M*")</f>
        <v>6</v>
      </c>
      <c r="X40" s="37">
        <f t="shared" si="5"/>
        <v>6</v>
      </c>
      <c r="Y40" s="37">
        <f t="shared" si="5"/>
        <v>5</v>
      </c>
      <c r="Z40" s="37">
        <f t="shared" si="5"/>
        <v>6</v>
      </c>
      <c r="AA40" s="37">
        <f t="shared" si="5"/>
        <v>6</v>
      </c>
      <c r="AB40" s="37">
        <f t="shared" si="5"/>
        <v>6</v>
      </c>
      <c r="AC40" s="37">
        <f t="shared" si="5"/>
        <v>7</v>
      </c>
      <c r="AD40" s="37">
        <f t="shared" si="5"/>
        <v>7</v>
      </c>
      <c r="AE40" s="37">
        <f t="shared" si="5"/>
        <v>6</v>
      </c>
      <c r="AF40" s="37">
        <f t="shared" si="5"/>
        <v>6</v>
      </c>
      <c r="AG40" s="37">
        <f t="shared" si="5"/>
        <v>6</v>
      </c>
      <c r="AH40" s="37">
        <f t="shared" si="5"/>
        <v>6</v>
      </c>
      <c r="AI40" s="37">
        <f t="shared" si="5"/>
        <v>6</v>
      </c>
      <c r="AJ40" s="37">
        <f t="shared" si="5"/>
        <v>0</v>
      </c>
    </row>
    <row r="41" spans="2:42" ht="18.75" x14ac:dyDescent="0.3">
      <c r="C41" s="171" t="s">
        <v>92</v>
      </c>
      <c r="D41" s="171"/>
      <c r="E41" s="36"/>
      <c r="F41" s="37">
        <f>COUNTIF(F$5:F$37,"A*")</f>
        <v>5</v>
      </c>
      <c r="G41" s="37">
        <f t="shared" ref="G41:AJ41" si="6">COUNTIF(G$5:G$37,"A*")</f>
        <v>6</v>
      </c>
      <c r="H41" s="37">
        <f t="shared" si="6"/>
        <v>5</v>
      </c>
      <c r="I41" s="37">
        <f t="shared" si="6"/>
        <v>5</v>
      </c>
      <c r="J41" s="37">
        <f t="shared" si="6"/>
        <v>6</v>
      </c>
      <c r="K41" s="37">
        <f t="shared" si="6"/>
        <v>6</v>
      </c>
      <c r="L41" s="37">
        <f t="shared" si="6"/>
        <v>7</v>
      </c>
      <c r="M41" s="37">
        <f t="shared" si="6"/>
        <v>6</v>
      </c>
      <c r="N41" s="37">
        <f t="shared" si="6"/>
        <v>7</v>
      </c>
      <c r="O41" s="37">
        <f t="shared" si="6"/>
        <v>6</v>
      </c>
      <c r="P41" s="37">
        <f t="shared" si="6"/>
        <v>6</v>
      </c>
      <c r="Q41" s="37">
        <f t="shared" si="6"/>
        <v>6</v>
      </c>
      <c r="R41" s="37">
        <f t="shared" si="6"/>
        <v>6</v>
      </c>
      <c r="S41" s="37">
        <f t="shared" si="6"/>
        <v>6</v>
      </c>
      <c r="T41" s="37">
        <f t="shared" si="6"/>
        <v>6</v>
      </c>
      <c r="U41" s="37">
        <f t="shared" si="6"/>
        <v>6</v>
      </c>
      <c r="V41" s="37">
        <f t="shared" si="6"/>
        <v>7</v>
      </c>
      <c r="W41" s="37">
        <f t="shared" si="6"/>
        <v>7</v>
      </c>
      <c r="X41" s="37">
        <f t="shared" si="6"/>
        <v>6</v>
      </c>
      <c r="Y41" s="37">
        <f t="shared" si="6"/>
        <v>6</v>
      </c>
      <c r="Z41" s="37">
        <f t="shared" si="6"/>
        <v>6</v>
      </c>
      <c r="AA41" s="37">
        <f t="shared" si="6"/>
        <v>6</v>
      </c>
      <c r="AB41" s="37">
        <f t="shared" si="6"/>
        <v>6</v>
      </c>
      <c r="AC41" s="37">
        <f t="shared" si="6"/>
        <v>6</v>
      </c>
      <c r="AD41" s="37">
        <f t="shared" si="6"/>
        <v>7</v>
      </c>
      <c r="AE41" s="37">
        <f t="shared" si="6"/>
        <v>6</v>
      </c>
      <c r="AF41" s="37">
        <f t="shared" si="6"/>
        <v>6</v>
      </c>
      <c r="AG41" s="37">
        <f t="shared" si="6"/>
        <v>7</v>
      </c>
      <c r="AH41" s="37">
        <f t="shared" si="6"/>
        <v>7</v>
      </c>
      <c r="AI41" s="37">
        <f t="shared" si="6"/>
        <v>6</v>
      </c>
      <c r="AJ41" s="37">
        <f t="shared" si="6"/>
        <v>0</v>
      </c>
    </row>
    <row r="42" spans="2:42" ht="19.5" thickBot="1" x14ac:dyDescent="0.35">
      <c r="C42" s="171" t="s">
        <v>72</v>
      </c>
      <c r="D42" s="171"/>
      <c r="E42" s="36"/>
      <c r="F42" s="37">
        <f>COUNTIF(F$5:F$37,"N*")</f>
        <v>6</v>
      </c>
      <c r="G42" s="37">
        <f t="shared" ref="G42:AJ42" si="7">COUNTIF(G$5:G$37,"N*")</f>
        <v>5</v>
      </c>
      <c r="H42" s="37">
        <f t="shared" si="7"/>
        <v>5</v>
      </c>
      <c r="I42" s="37">
        <f t="shared" si="7"/>
        <v>6</v>
      </c>
      <c r="J42" s="37">
        <f t="shared" si="7"/>
        <v>6</v>
      </c>
      <c r="K42" s="37">
        <f t="shared" si="7"/>
        <v>6</v>
      </c>
      <c r="L42" s="37">
        <f t="shared" si="7"/>
        <v>7</v>
      </c>
      <c r="M42" s="37">
        <f t="shared" si="7"/>
        <v>7</v>
      </c>
      <c r="N42" s="37">
        <f t="shared" si="7"/>
        <v>6</v>
      </c>
      <c r="O42" s="37">
        <f t="shared" si="7"/>
        <v>7</v>
      </c>
      <c r="P42" s="37">
        <f t="shared" si="7"/>
        <v>6</v>
      </c>
      <c r="Q42" s="37">
        <f t="shared" si="7"/>
        <v>6</v>
      </c>
      <c r="R42" s="37">
        <f t="shared" si="7"/>
        <v>6</v>
      </c>
      <c r="S42" s="37">
        <f t="shared" si="7"/>
        <v>6</v>
      </c>
      <c r="T42" s="37">
        <f t="shared" si="7"/>
        <v>6</v>
      </c>
      <c r="U42" s="37">
        <f t="shared" si="7"/>
        <v>7</v>
      </c>
      <c r="V42" s="37">
        <f t="shared" si="7"/>
        <v>7</v>
      </c>
      <c r="W42" s="37">
        <f t="shared" si="7"/>
        <v>6</v>
      </c>
      <c r="X42" s="37">
        <f t="shared" si="7"/>
        <v>6</v>
      </c>
      <c r="Y42" s="37">
        <f t="shared" si="7"/>
        <v>6</v>
      </c>
      <c r="Z42" s="37">
        <f t="shared" si="7"/>
        <v>7</v>
      </c>
      <c r="AA42" s="37">
        <f t="shared" si="7"/>
        <v>6</v>
      </c>
      <c r="AB42" s="37">
        <f t="shared" si="7"/>
        <v>6</v>
      </c>
      <c r="AC42" s="37">
        <f t="shared" si="7"/>
        <v>7</v>
      </c>
      <c r="AD42" s="37">
        <f t="shared" si="7"/>
        <v>7</v>
      </c>
      <c r="AE42" s="37">
        <f t="shared" si="7"/>
        <v>6</v>
      </c>
      <c r="AF42" s="37">
        <f t="shared" si="7"/>
        <v>7</v>
      </c>
      <c r="AG42" s="37">
        <f t="shared" si="7"/>
        <v>7</v>
      </c>
      <c r="AH42" s="37">
        <f t="shared" si="7"/>
        <v>7</v>
      </c>
      <c r="AI42" s="37">
        <f t="shared" si="7"/>
        <v>7</v>
      </c>
      <c r="AJ42" s="37">
        <f t="shared" si="7"/>
        <v>0</v>
      </c>
    </row>
    <row r="43" spans="2:42" ht="18.75" x14ac:dyDescent="0.3">
      <c r="C43" s="171" t="s">
        <v>73</v>
      </c>
      <c r="D43" s="171"/>
      <c r="E43" s="36"/>
      <c r="F43" s="37">
        <f t="shared" ref="F43:AJ43" si="8">COUNTIF(F$5:F$38,"O*")</f>
        <v>9</v>
      </c>
      <c r="G43" s="37">
        <f t="shared" si="8"/>
        <v>12</v>
      </c>
      <c r="H43" s="37">
        <f t="shared" si="8"/>
        <v>13</v>
      </c>
      <c r="I43" s="37">
        <f t="shared" si="8"/>
        <v>12</v>
      </c>
      <c r="J43" s="37">
        <f t="shared" si="8"/>
        <v>12</v>
      </c>
      <c r="K43" s="37">
        <f t="shared" si="8"/>
        <v>12</v>
      </c>
      <c r="L43" s="37">
        <f t="shared" si="8"/>
        <v>11</v>
      </c>
      <c r="M43" s="37">
        <f t="shared" si="8"/>
        <v>11</v>
      </c>
      <c r="N43" s="37">
        <f t="shared" si="8"/>
        <v>10</v>
      </c>
      <c r="O43" s="37">
        <f t="shared" si="8"/>
        <v>12</v>
      </c>
      <c r="P43" s="37">
        <f t="shared" si="8"/>
        <v>14</v>
      </c>
      <c r="Q43" s="37">
        <f t="shared" si="8"/>
        <v>14</v>
      </c>
      <c r="R43" s="37">
        <f t="shared" si="8"/>
        <v>11</v>
      </c>
      <c r="S43" s="37">
        <f t="shared" si="8"/>
        <v>12</v>
      </c>
      <c r="T43" s="37">
        <f t="shared" si="8"/>
        <v>11</v>
      </c>
      <c r="U43" s="37">
        <f t="shared" si="8"/>
        <v>11</v>
      </c>
      <c r="V43" s="37">
        <f t="shared" si="8"/>
        <v>10</v>
      </c>
      <c r="W43" s="37">
        <f t="shared" si="8"/>
        <v>12</v>
      </c>
      <c r="X43" s="37">
        <f t="shared" si="8"/>
        <v>13</v>
      </c>
      <c r="Y43" s="37">
        <f t="shared" si="8"/>
        <v>13</v>
      </c>
      <c r="Z43" s="37">
        <f t="shared" si="8"/>
        <v>11</v>
      </c>
      <c r="AA43" s="37">
        <f t="shared" si="8"/>
        <v>13</v>
      </c>
      <c r="AB43" s="37">
        <f t="shared" si="8"/>
        <v>13</v>
      </c>
      <c r="AC43" s="37">
        <f t="shared" si="8"/>
        <v>11</v>
      </c>
      <c r="AD43" s="37">
        <f t="shared" si="8"/>
        <v>12</v>
      </c>
      <c r="AE43" s="37">
        <f t="shared" si="8"/>
        <v>12</v>
      </c>
      <c r="AF43" s="37">
        <f t="shared" si="8"/>
        <v>12</v>
      </c>
      <c r="AG43" s="37">
        <f t="shared" si="8"/>
        <v>12</v>
      </c>
      <c r="AH43" s="37">
        <f t="shared" si="8"/>
        <v>12</v>
      </c>
      <c r="AI43" s="37">
        <f t="shared" si="8"/>
        <v>13</v>
      </c>
      <c r="AJ43" s="37">
        <f t="shared" si="8"/>
        <v>0</v>
      </c>
    </row>
    <row r="44" spans="2:42" ht="18.75" x14ac:dyDescent="0.3">
      <c r="C44" s="167" t="s">
        <v>125</v>
      </c>
      <c r="D44" s="168"/>
      <c r="E44" s="36"/>
      <c r="F44" s="37">
        <f t="shared" ref="F44:AJ44" si="9">COUNTIF(F$5:F$38,"TR*")</f>
        <v>1</v>
      </c>
      <c r="G44" s="37">
        <f t="shared" si="9"/>
        <v>0</v>
      </c>
      <c r="H44" s="37">
        <f t="shared" si="9"/>
        <v>0</v>
      </c>
      <c r="I44" s="37">
        <f t="shared" si="9"/>
        <v>0</v>
      </c>
      <c r="J44" s="37">
        <f t="shared" si="9"/>
        <v>0</v>
      </c>
      <c r="K44" s="37">
        <f t="shared" si="9"/>
        <v>0</v>
      </c>
      <c r="L44" s="37">
        <f t="shared" si="9"/>
        <v>1</v>
      </c>
      <c r="M44" s="37">
        <f t="shared" si="9"/>
        <v>1</v>
      </c>
      <c r="N44" s="37">
        <f t="shared" si="9"/>
        <v>1</v>
      </c>
      <c r="O44" s="37">
        <f t="shared" si="9"/>
        <v>0</v>
      </c>
      <c r="P44" s="37">
        <f t="shared" si="9"/>
        <v>0</v>
      </c>
      <c r="Q44" s="37">
        <f t="shared" si="9"/>
        <v>0</v>
      </c>
      <c r="R44" s="37">
        <f t="shared" si="9"/>
        <v>2</v>
      </c>
      <c r="S44" s="37">
        <f t="shared" si="9"/>
        <v>0</v>
      </c>
      <c r="T44" s="37">
        <f t="shared" si="9"/>
        <v>0</v>
      </c>
      <c r="U44" s="37">
        <f t="shared" si="9"/>
        <v>0</v>
      </c>
      <c r="V44" s="37">
        <f t="shared" si="9"/>
        <v>0</v>
      </c>
      <c r="W44" s="37">
        <f t="shared" si="9"/>
        <v>0</v>
      </c>
      <c r="X44" s="37">
        <f t="shared" si="9"/>
        <v>0</v>
      </c>
      <c r="Y44" s="37">
        <f t="shared" si="9"/>
        <v>1</v>
      </c>
      <c r="Z44" s="37">
        <f t="shared" si="9"/>
        <v>0</v>
      </c>
      <c r="AA44" s="37">
        <f t="shared" si="9"/>
        <v>0</v>
      </c>
      <c r="AB44" s="37">
        <f t="shared" si="9"/>
        <v>0</v>
      </c>
      <c r="AC44" s="37">
        <f t="shared" si="9"/>
        <v>0</v>
      </c>
      <c r="AD44" s="37">
        <f t="shared" si="9"/>
        <v>0</v>
      </c>
      <c r="AE44" s="37">
        <f t="shared" si="9"/>
        <v>3</v>
      </c>
      <c r="AF44" s="37">
        <f t="shared" si="9"/>
        <v>1</v>
      </c>
      <c r="AG44" s="37">
        <f t="shared" si="9"/>
        <v>0</v>
      </c>
      <c r="AH44" s="37">
        <f t="shared" si="9"/>
        <v>0</v>
      </c>
      <c r="AI44" s="37">
        <f t="shared" si="9"/>
        <v>0</v>
      </c>
      <c r="AJ44" s="37">
        <f t="shared" si="9"/>
        <v>0</v>
      </c>
    </row>
    <row r="45" spans="2:42" ht="18.75" x14ac:dyDescent="0.3">
      <c r="C45" s="167" t="s">
        <v>106</v>
      </c>
      <c r="D45" s="168"/>
      <c r="E45" s="36"/>
      <c r="F45" s="37">
        <f t="shared" ref="F45:AJ45" si="10">COUNTIF(F$5:F$37,"ST*")</f>
        <v>0</v>
      </c>
      <c r="G45" s="37">
        <f t="shared" si="10"/>
        <v>0</v>
      </c>
      <c r="H45" s="37">
        <f t="shared" si="10"/>
        <v>0</v>
      </c>
      <c r="I45" s="37">
        <f t="shared" si="10"/>
        <v>0</v>
      </c>
      <c r="J45" s="37">
        <f t="shared" si="10"/>
        <v>0</v>
      </c>
      <c r="K45" s="37">
        <f t="shared" si="10"/>
        <v>0</v>
      </c>
      <c r="L45" s="37">
        <f t="shared" si="10"/>
        <v>0</v>
      </c>
      <c r="M45" s="37">
        <f t="shared" si="10"/>
        <v>0</v>
      </c>
      <c r="N45" s="37">
        <f t="shared" si="10"/>
        <v>0</v>
      </c>
      <c r="O45" s="37">
        <f t="shared" si="10"/>
        <v>0</v>
      </c>
      <c r="P45" s="37">
        <f t="shared" si="10"/>
        <v>0</v>
      </c>
      <c r="Q45" s="37">
        <f t="shared" si="10"/>
        <v>0</v>
      </c>
      <c r="R45" s="37">
        <f t="shared" si="10"/>
        <v>0</v>
      </c>
      <c r="S45" s="37">
        <f t="shared" si="10"/>
        <v>0</v>
      </c>
      <c r="T45" s="37">
        <f t="shared" si="10"/>
        <v>0</v>
      </c>
      <c r="U45" s="37">
        <f t="shared" si="10"/>
        <v>0</v>
      </c>
      <c r="V45" s="37">
        <f t="shared" si="10"/>
        <v>0</v>
      </c>
      <c r="W45" s="37">
        <f t="shared" si="10"/>
        <v>0</v>
      </c>
      <c r="X45" s="37">
        <f t="shared" si="10"/>
        <v>0</v>
      </c>
      <c r="Y45" s="37">
        <f t="shared" si="10"/>
        <v>0</v>
      </c>
      <c r="Z45" s="37">
        <f t="shared" si="10"/>
        <v>0</v>
      </c>
      <c r="AA45" s="37">
        <f t="shared" si="10"/>
        <v>0</v>
      </c>
      <c r="AB45" s="37">
        <f t="shared" si="10"/>
        <v>0</v>
      </c>
      <c r="AC45" s="37">
        <f t="shared" si="10"/>
        <v>0</v>
      </c>
      <c r="AD45" s="37">
        <f t="shared" si="10"/>
        <v>0</v>
      </c>
      <c r="AE45" s="37">
        <f t="shared" si="10"/>
        <v>0</v>
      </c>
      <c r="AF45" s="37">
        <f t="shared" si="10"/>
        <v>0</v>
      </c>
      <c r="AG45" s="37">
        <f t="shared" si="10"/>
        <v>0</v>
      </c>
      <c r="AH45" s="37">
        <f t="shared" si="10"/>
        <v>0</v>
      </c>
      <c r="AI45" s="37">
        <f t="shared" si="10"/>
        <v>0</v>
      </c>
      <c r="AJ45" s="37">
        <f t="shared" si="10"/>
        <v>0</v>
      </c>
    </row>
    <row r="46" spans="2:42" ht="18.75" x14ac:dyDescent="0.3">
      <c r="C46" s="169" t="s">
        <v>104</v>
      </c>
      <c r="D46" s="169"/>
      <c r="E46" s="38"/>
      <c r="F46" s="54">
        <f>F48-F49</f>
        <v>-1</v>
      </c>
      <c r="G46" s="54">
        <f t="shared" ref="G46:AJ46" si="11">G48-G49</f>
        <v>-2</v>
      </c>
      <c r="H46" s="54">
        <f t="shared" si="11"/>
        <v>-3</v>
      </c>
      <c r="I46" s="54">
        <f t="shared" si="11"/>
        <v>-1</v>
      </c>
      <c r="J46" s="54">
        <f t="shared" si="11"/>
        <v>0</v>
      </c>
      <c r="K46" s="54">
        <f t="shared" si="11"/>
        <v>0</v>
      </c>
      <c r="L46" s="54">
        <f t="shared" si="11"/>
        <v>2</v>
      </c>
      <c r="M46" s="54">
        <f t="shared" si="11"/>
        <v>1</v>
      </c>
      <c r="N46" s="54">
        <f t="shared" si="11"/>
        <v>2</v>
      </c>
      <c r="O46" s="54">
        <f t="shared" si="11"/>
        <v>1</v>
      </c>
      <c r="P46" s="54">
        <f t="shared" si="11"/>
        <v>-1</v>
      </c>
      <c r="Q46" s="54">
        <f t="shared" si="11"/>
        <v>-1</v>
      </c>
      <c r="R46" s="54">
        <f t="shared" si="11"/>
        <v>-1</v>
      </c>
      <c r="S46" s="54">
        <f t="shared" si="11"/>
        <v>-1</v>
      </c>
      <c r="T46" s="54">
        <f t="shared" si="11"/>
        <v>0</v>
      </c>
      <c r="U46" s="54">
        <f t="shared" si="11"/>
        <v>1</v>
      </c>
      <c r="V46" s="54">
        <f t="shared" si="11"/>
        <v>2</v>
      </c>
      <c r="W46" s="54">
        <f t="shared" si="11"/>
        <v>1</v>
      </c>
      <c r="X46" s="54">
        <f t="shared" si="11"/>
        <v>0</v>
      </c>
      <c r="Y46" s="54">
        <f t="shared" si="11"/>
        <v>-1</v>
      </c>
      <c r="Z46" s="54">
        <f t="shared" si="11"/>
        <v>1</v>
      </c>
      <c r="AA46" s="54">
        <f t="shared" si="11"/>
        <v>0</v>
      </c>
      <c r="AB46" s="54">
        <f t="shared" si="11"/>
        <v>0</v>
      </c>
      <c r="AC46" s="54">
        <f t="shared" si="11"/>
        <v>2</v>
      </c>
      <c r="AD46" s="54">
        <f t="shared" si="11"/>
        <v>3</v>
      </c>
      <c r="AE46" s="54">
        <f t="shared" si="11"/>
        <v>0</v>
      </c>
      <c r="AF46" s="54">
        <f t="shared" si="11"/>
        <v>1</v>
      </c>
      <c r="AG46" s="54">
        <f t="shared" si="11"/>
        <v>2</v>
      </c>
      <c r="AH46" s="54">
        <f t="shared" si="11"/>
        <v>2</v>
      </c>
      <c r="AI46" s="54">
        <f t="shared" si="11"/>
        <v>1</v>
      </c>
      <c r="AJ46" s="54">
        <f t="shared" si="11"/>
        <v>0</v>
      </c>
    </row>
    <row r="47" spans="2:42" ht="9.75" customHeight="1" x14ac:dyDescent="0.3">
      <c r="C47" s="40"/>
      <c r="D47" s="40"/>
      <c r="E47" s="36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0"/>
      <c r="AJ47" s="170"/>
    </row>
    <row r="48" spans="2:42" ht="18.75" x14ac:dyDescent="0.3">
      <c r="C48" s="171" t="s">
        <v>102</v>
      </c>
      <c r="D48" s="171"/>
      <c r="E48" s="36"/>
      <c r="F48" s="41">
        <f>SUM(F40:F42)</f>
        <v>17</v>
      </c>
      <c r="G48" s="41">
        <f t="shared" ref="G48:AI48" si="12">SUM(G40:G42)</f>
        <v>16</v>
      </c>
      <c r="H48" s="41">
        <f t="shared" si="12"/>
        <v>15</v>
      </c>
      <c r="I48" s="41">
        <f t="shared" si="12"/>
        <v>17</v>
      </c>
      <c r="J48" s="41">
        <f t="shared" si="12"/>
        <v>18</v>
      </c>
      <c r="K48" s="41">
        <f t="shared" si="12"/>
        <v>18</v>
      </c>
      <c r="L48" s="41">
        <f t="shared" si="12"/>
        <v>20</v>
      </c>
      <c r="M48" s="41">
        <f t="shared" si="12"/>
        <v>19</v>
      </c>
      <c r="N48" s="41">
        <f t="shared" si="12"/>
        <v>20</v>
      </c>
      <c r="O48" s="41">
        <f t="shared" si="12"/>
        <v>19</v>
      </c>
      <c r="P48" s="41">
        <f t="shared" si="12"/>
        <v>17</v>
      </c>
      <c r="Q48" s="41">
        <f t="shared" si="12"/>
        <v>17</v>
      </c>
      <c r="R48" s="41">
        <f t="shared" si="12"/>
        <v>17</v>
      </c>
      <c r="S48" s="41">
        <f t="shared" si="12"/>
        <v>17</v>
      </c>
      <c r="T48" s="41">
        <f t="shared" si="12"/>
        <v>18</v>
      </c>
      <c r="U48" s="41">
        <f t="shared" si="12"/>
        <v>19</v>
      </c>
      <c r="V48" s="41">
        <f t="shared" si="12"/>
        <v>20</v>
      </c>
      <c r="W48" s="41">
        <f t="shared" si="12"/>
        <v>19</v>
      </c>
      <c r="X48" s="41">
        <f t="shared" si="12"/>
        <v>18</v>
      </c>
      <c r="Y48" s="41">
        <f t="shared" si="12"/>
        <v>17</v>
      </c>
      <c r="Z48" s="41">
        <f t="shared" si="12"/>
        <v>19</v>
      </c>
      <c r="AA48" s="41">
        <f t="shared" si="12"/>
        <v>18</v>
      </c>
      <c r="AB48" s="41">
        <f t="shared" si="12"/>
        <v>18</v>
      </c>
      <c r="AC48" s="41">
        <f t="shared" si="12"/>
        <v>20</v>
      </c>
      <c r="AD48" s="41">
        <f t="shared" si="12"/>
        <v>21</v>
      </c>
      <c r="AE48" s="41">
        <f t="shared" si="12"/>
        <v>18</v>
      </c>
      <c r="AF48" s="41">
        <f t="shared" si="12"/>
        <v>19</v>
      </c>
      <c r="AG48" s="41">
        <f t="shared" si="12"/>
        <v>20</v>
      </c>
      <c r="AH48" s="41">
        <f t="shared" si="12"/>
        <v>20</v>
      </c>
      <c r="AI48" s="41">
        <f t="shared" si="12"/>
        <v>19</v>
      </c>
      <c r="AJ48" s="41">
        <v>18</v>
      </c>
    </row>
    <row r="49" spans="3:36" ht="18.75" x14ac:dyDescent="0.3">
      <c r="C49" s="171" t="s">
        <v>90</v>
      </c>
      <c r="D49" s="171"/>
      <c r="E49" s="36"/>
      <c r="F49" s="37">
        <v>18</v>
      </c>
      <c r="G49" s="37">
        <v>18</v>
      </c>
      <c r="H49" s="37">
        <v>18</v>
      </c>
      <c r="I49" s="37">
        <v>18</v>
      </c>
      <c r="J49" s="37">
        <v>18</v>
      </c>
      <c r="K49" s="37">
        <v>18</v>
      </c>
      <c r="L49" s="37">
        <v>18</v>
      </c>
      <c r="M49" s="37">
        <v>18</v>
      </c>
      <c r="N49" s="37">
        <v>18</v>
      </c>
      <c r="O49" s="37">
        <v>18</v>
      </c>
      <c r="P49" s="37">
        <v>18</v>
      </c>
      <c r="Q49" s="37">
        <v>18</v>
      </c>
      <c r="R49" s="37">
        <v>18</v>
      </c>
      <c r="S49" s="37">
        <v>18</v>
      </c>
      <c r="T49" s="37">
        <v>18</v>
      </c>
      <c r="U49" s="37">
        <v>18</v>
      </c>
      <c r="V49" s="37">
        <v>18</v>
      </c>
      <c r="W49" s="37">
        <v>18</v>
      </c>
      <c r="X49" s="37">
        <v>18</v>
      </c>
      <c r="Y49" s="37">
        <v>18</v>
      </c>
      <c r="Z49" s="37">
        <v>18</v>
      </c>
      <c r="AA49" s="37">
        <v>18</v>
      </c>
      <c r="AB49" s="37">
        <v>18</v>
      </c>
      <c r="AC49" s="37">
        <v>18</v>
      </c>
      <c r="AD49" s="37">
        <v>18</v>
      </c>
      <c r="AE49" s="37">
        <v>18</v>
      </c>
      <c r="AF49" s="37">
        <v>18</v>
      </c>
      <c r="AG49" s="37">
        <v>18</v>
      </c>
      <c r="AH49" s="37">
        <v>18</v>
      </c>
      <c r="AI49" s="37">
        <v>18</v>
      </c>
      <c r="AJ49" s="37">
        <v>18</v>
      </c>
    </row>
    <row r="50" spans="3:36" ht="18.75" x14ac:dyDescent="0.3">
      <c r="C50" s="171" t="s">
        <v>103</v>
      </c>
      <c r="D50" s="171"/>
      <c r="E50" s="36"/>
      <c r="F50" s="37">
        <f>SUM(F40,F41,F42,F43,F45)</f>
        <v>26</v>
      </c>
      <c r="G50" s="37">
        <f t="shared" ref="G50:AI50" si="13">SUM(G40,G41,G42,G43,G45)</f>
        <v>28</v>
      </c>
      <c r="H50" s="37">
        <f t="shared" si="13"/>
        <v>28</v>
      </c>
      <c r="I50" s="37">
        <f t="shared" si="13"/>
        <v>29</v>
      </c>
      <c r="J50" s="37">
        <f t="shared" si="13"/>
        <v>30</v>
      </c>
      <c r="K50" s="37">
        <f t="shared" si="13"/>
        <v>30</v>
      </c>
      <c r="L50" s="37">
        <f t="shared" si="13"/>
        <v>31</v>
      </c>
      <c r="M50" s="37">
        <f t="shared" si="13"/>
        <v>30</v>
      </c>
      <c r="N50" s="37">
        <f t="shared" si="13"/>
        <v>30</v>
      </c>
      <c r="O50" s="37">
        <f t="shared" si="13"/>
        <v>31</v>
      </c>
      <c r="P50" s="37">
        <f t="shared" si="13"/>
        <v>31</v>
      </c>
      <c r="Q50" s="37">
        <f t="shared" si="13"/>
        <v>31</v>
      </c>
      <c r="R50" s="37">
        <f t="shared" si="13"/>
        <v>28</v>
      </c>
      <c r="S50" s="37">
        <f t="shared" si="13"/>
        <v>29</v>
      </c>
      <c r="T50" s="37">
        <f t="shared" si="13"/>
        <v>29</v>
      </c>
      <c r="U50" s="37">
        <f t="shared" si="13"/>
        <v>30</v>
      </c>
      <c r="V50" s="37">
        <f t="shared" si="13"/>
        <v>30</v>
      </c>
      <c r="W50" s="37">
        <f t="shared" si="13"/>
        <v>31</v>
      </c>
      <c r="X50" s="37">
        <f t="shared" si="13"/>
        <v>31</v>
      </c>
      <c r="Y50" s="37">
        <f t="shared" si="13"/>
        <v>30</v>
      </c>
      <c r="Z50" s="37">
        <f t="shared" si="13"/>
        <v>30</v>
      </c>
      <c r="AA50" s="37">
        <f t="shared" si="13"/>
        <v>31</v>
      </c>
      <c r="AB50" s="37">
        <f t="shared" si="13"/>
        <v>31</v>
      </c>
      <c r="AC50" s="37">
        <f t="shared" si="13"/>
        <v>31</v>
      </c>
      <c r="AD50" s="37">
        <f t="shared" si="13"/>
        <v>33</v>
      </c>
      <c r="AE50" s="37">
        <f t="shared" si="13"/>
        <v>30</v>
      </c>
      <c r="AF50" s="37">
        <f t="shared" si="13"/>
        <v>31</v>
      </c>
      <c r="AG50" s="37">
        <f t="shared" si="13"/>
        <v>32</v>
      </c>
      <c r="AH50" s="37">
        <f t="shared" si="13"/>
        <v>32</v>
      </c>
      <c r="AI50" s="37">
        <f t="shared" si="13"/>
        <v>32</v>
      </c>
      <c r="AJ50" s="37">
        <v>35</v>
      </c>
    </row>
    <row r="51" spans="3:36" ht="16.5" thickBot="1" x14ac:dyDescent="0.3"/>
    <row r="52" spans="3:36" ht="16.5" thickBot="1" x14ac:dyDescent="0.3">
      <c r="F52" s="200" t="s">
        <v>206</v>
      </c>
      <c r="G52" s="201"/>
      <c r="H52" s="201"/>
      <c r="I52" s="201"/>
      <c r="J52" s="201"/>
      <c r="K52" s="202"/>
    </row>
    <row r="53" spans="3:36" x14ac:dyDescent="0.25">
      <c r="F53" s="66" t="s">
        <v>124</v>
      </c>
      <c r="G53" s="208" t="s">
        <v>202</v>
      </c>
      <c r="H53" s="209"/>
      <c r="I53" s="79" t="s">
        <v>203</v>
      </c>
      <c r="J53" s="80" t="s">
        <v>214</v>
      </c>
      <c r="K53" s="81"/>
    </row>
    <row r="54" spans="3:36" x14ac:dyDescent="0.25">
      <c r="F54" s="67" t="s">
        <v>118</v>
      </c>
      <c r="G54" s="210" t="s">
        <v>203</v>
      </c>
      <c r="H54" s="211"/>
      <c r="I54" s="79" t="s">
        <v>213</v>
      </c>
      <c r="J54" s="188" t="s">
        <v>215</v>
      </c>
      <c r="K54" s="195"/>
    </row>
    <row r="55" spans="3:36" x14ac:dyDescent="0.25">
      <c r="F55" s="68" t="s">
        <v>200</v>
      </c>
      <c r="G55" s="196" t="s">
        <v>204</v>
      </c>
      <c r="H55" s="212"/>
      <c r="I55" s="82" t="s">
        <v>209</v>
      </c>
      <c r="J55" s="203" t="s">
        <v>216</v>
      </c>
      <c r="K55" s="204"/>
    </row>
    <row r="56" spans="3:36" x14ac:dyDescent="0.25">
      <c r="F56" s="69" t="s">
        <v>201</v>
      </c>
      <c r="G56" s="198" t="s">
        <v>227</v>
      </c>
      <c r="H56" s="213"/>
      <c r="I56" s="26"/>
      <c r="J56" s="205"/>
      <c r="K56" s="206"/>
    </row>
    <row r="57" spans="3:36" x14ac:dyDescent="0.25">
      <c r="F57" s="70" t="s">
        <v>126</v>
      </c>
      <c r="G57" s="182" t="s">
        <v>208</v>
      </c>
      <c r="H57" s="218"/>
      <c r="I57" s="19"/>
      <c r="J57" s="214"/>
      <c r="K57" s="215"/>
    </row>
    <row r="58" spans="3:36" ht="16.5" thickBot="1" x14ac:dyDescent="0.3">
      <c r="F58" s="77" t="s">
        <v>229</v>
      </c>
      <c r="G58" s="219" t="s">
        <v>207</v>
      </c>
      <c r="H58" s="220"/>
      <c r="I58" s="78"/>
      <c r="J58" s="216"/>
      <c r="K58" s="217"/>
    </row>
  </sheetData>
  <dataConsolidate/>
  <mergeCells count="64">
    <mergeCell ref="G57:H57"/>
    <mergeCell ref="G58:H58"/>
    <mergeCell ref="F52:K52"/>
    <mergeCell ref="J54:K54"/>
    <mergeCell ref="J55:K55"/>
    <mergeCell ref="J56:K56"/>
    <mergeCell ref="J57:K57"/>
    <mergeCell ref="J58:K58"/>
    <mergeCell ref="G53:H53"/>
    <mergeCell ref="G54:H54"/>
    <mergeCell ref="G55:H55"/>
    <mergeCell ref="G56:H56"/>
    <mergeCell ref="C46:D46"/>
    <mergeCell ref="F47:AJ47"/>
    <mergeCell ref="C48:D48"/>
    <mergeCell ref="C49:D49"/>
    <mergeCell ref="C50:D50"/>
    <mergeCell ref="C45:D45"/>
    <mergeCell ref="C35:D35"/>
    <mergeCell ref="C36:D36"/>
    <mergeCell ref="C37:D37"/>
    <mergeCell ref="C38:D38"/>
    <mergeCell ref="C40:D40"/>
    <mergeCell ref="C41:D41"/>
    <mergeCell ref="C42:D42"/>
    <mergeCell ref="C43:D43"/>
    <mergeCell ref="C44:D44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19:D19"/>
    <mergeCell ref="C20:D20"/>
    <mergeCell ref="C21:D21"/>
    <mergeCell ref="C22:D22"/>
    <mergeCell ref="C23:D23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AM2:AM4"/>
    <mergeCell ref="AN2:AN4"/>
    <mergeCell ref="AO2:AO4"/>
    <mergeCell ref="AP2:AP4"/>
    <mergeCell ref="B3:D4"/>
  </mergeCells>
  <phoneticPr fontId="14" type="noConversion"/>
  <conditionalFormatting sqref="F5:AJ38">
    <cfRule type="containsText" dxfId="128" priority="1" operator="containsText" text="MN12">
      <formula>NOT(ISERROR(SEARCH("MN12",F5)))</formula>
    </cfRule>
    <cfRule type="containsText" dxfId="127" priority="2" operator="containsText" text="STNN21">
      <formula>NOT(ISERROR(SEARCH("STNN21",F5)))</formula>
    </cfRule>
    <cfRule type="containsText" dxfId="126" priority="3" operator="containsText" text="STAN13">
      <formula>NOT(ISERROR(SEARCH("STAN13",F5)))</formula>
    </cfRule>
    <cfRule type="containsText" dxfId="125" priority="4" operator="containsText" text="STMN06">
      <formula>NOT(ISERROR(SEARCH("STMN06",F5)))</formula>
    </cfRule>
    <cfRule type="containsText" dxfId="124" priority="5" operator="containsText" text="LV">
      <formula>NOT(ISERROR(SEARCH("LV",F5)))</formula>
    </cfRule>
    <cfRule type="containsText" dxfId="123" priority="6" operator="containsText" text="TR">
      <formula>NOT(ISERROR(SEARCH("TR",F5)))</formula>
    </cfRule>
    <cfRule type="containsText" dxfId="122" priority="7" operator="containsText" text="NN21">
      <formula>NOT(ISERROR(SEARCH("NN21",F5)))</formula>
    </cfRule>
    <cfRule type="containsText" dxfId="121" priority="8" operator="containsText" text="AN13">
      <formula>NOT(ISERROR(SEARCH("AN13",F5)))</formula>
    </cfRule>
    <cfRule type="containsText" dxfId="120" priority="9" operator="containsText" text="MN06">
      <formula>NOT(ISERROR(SEARCH("MN06",F5)))</formula>
    </cfRule>
    <cfRule type="containsText" dxfId="119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I23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39" t="s">
        <v>231</v>
      </c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1"/>
      <c r="AL2" s="179" t="s">
        <v>111</v>
      </c>
      <c r="AM2" s="179" t="s">
        <v>112</v>
      </c>
      <c r="AN2" s="179" t="s">
        <v>115</v>
      </c>
      <c r="AO2" s="179" t="s">
        <v>113</v>
      </c>
      <c r="AP2" s="179" t="s">
        <v>114</v>
      </c>
    </row>
    <row r="3" spans="2:42" ht="39" x14ac:dyDescent="0.25">
      <c r="B3" s="172" t="s">
        <v>105</v>
      </c>
      <c r="C3" s="172"/>
      <c r="D3" s="172"/>
      <c r="F3" s="109" t="s">
        <v>97</v>
      </c>
      <c r="G3" s="110" t="s">
        <v>98</v>
      </c>
      <c r="H3" s="110" t="s">
        <v>99</v>
      </c>
      <c r="I3" s="109" t="s">
        <v>100</v>
      </c>
      <c r="J3" s="110" t="s">
        <v>101</v>
      </c>
      <c r="K3" s="110" t="s">
        <v>95</v>
      </c>
      <c r="L3" s="109" t="s">
        <v>96</v>
      </c>
      <c r="M3" s="110" t="s">
        <v>97</v>
      </c>
      <c r="N3" s="110" t="s">
        <v>98</v>
      </c>
      <c r="O3" s="109" t="s">
        <v>99</v>
      </c>
      <c r="P3" s="110" t="s">
        <v>100</v>
      </c>
      <c r="Q3" s="110" t="s">
        <v>101</v>
      </c>
      <c r="R3" s="109" t="s">
        <v>95</v>
      </c>
      <c r="S3" s="110" t="s">
        <v>96</v>
      </c>
      <c r="T3" s="110" t="s">
        <v>97</v>
      </c>
      <c r="U3" s="109" t="s">
        <v>98</v>
      </c>
      <c r="V3" s="110" t="s">
        <v>99</v>
      </c>
      <c r="W3" s="110" t="s">
        <v>100</v>
      </c>
      <c r="X3" s="109" t="s">
        <v>101</v>
      </c>
      <c r="Y3" s="110" t="s">
        <v>95</v>
      </c>
      <c r="Z3" s="110" t="s">
        <v>96</v>
      </c>
      <c r="AA3" s="109" t="s">
        <v>97</v>
      </c>
      <c r="AB3" s="110" t="s">
        <v>98</v>
      </c>
      <c r="AC3" s="110" t="s">
        <v>99</v>
      </c>
      <c r="AD3" s="109" t="s">
        <v>100</v>
      </c>
      <c r="AE3" s="110" t="s">
        <v>101</v>
      </c>
      <c r="AF3" s="110" t="s">
        <v>95</v>
      </c>
      <c r="AG3" s="109" t="s">
        <v>96</v>
      </c>
      <c r="AH3" s="110" t="s">
        <v>97</v>
      </c>
      <c r="AI3" s="110" t="s">
        <v>98</v>
      </c>
      <c r="AJ3" s="109" t="s">
        <v>94</v>
      </c>
      <c r="AL3" s="180"/>
      <c r="AM3" s="180"/>
      <c r="AN3" s="180"/>
      <c r="AO3" s="180"/>
      <c r="AP3" s="180"/>
    </row>
    <row r="4" spans="2:42" ht="19.5" customHeight="1" thickBot="1" x14ac:dyDescent="0.3">
      <c r="B4" s="172"/>
      <c r="C4" s="172"/>
      <c r="D4" s="172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11">
        <v>6</v>
      </c>
      <c r="L4" s="111">
        <v>7</v>
      </c>
      <c r="M4" s="111">
        <v>8</v>
      </c>
      <c r="N4" s="111">
        <v>9</v>
      </c>
      <c r="O4" s="111">
        <v>10</v>
      </c>
      <c r="P4" s="111">
        <v>11</v>
      </c>
      <c r="Q4" s="111">
        <v>12</v>
      </c>
      <c r="R4" s="111">
        <v>13</v>
      </c>
      <c r="S4" s="111">
        <v>14</v>
      </c>
      <c r="T4" s="111">
        <v>15</v>
      </c>
      <c r="U4" s="111">
        <v>16</v>
      </c>
      <c r="V4" s="111">
        <v>17</v>
      </c>
      <c r="W4" s="111">
        <v>18</v>
      </c>
      <c r="X4" s="111">
        <v>19</v>
      </c>
      <c r="Y4" s="111">
        <v>20</v>
      </c>
      <c r="Z4" s="111">
        <v>21</v>
      </c>
      <c r="AA4" s="111">
        <v>22</v>
      </c>
      <c r="AB4" s="111">
        <v>23</v>
      </c>
      <c r="AC4" s="111">
        <v>24</v>
      </c>
      <c r="AD4" s="111">
        <v>25</v>
      </c>
      <c r="AE4" s="111">
        <v>26</v>
      </c>
      <c r="AF4" s="111">
        <v>27</v>
      </c>
      <c r="AG4" s="111">
        <v>28</v>
      </c>
      <c r="AH4" s="111">
        <v>29</v>
      </c>
      <c r="AI4" s="111">
        <v>30</v>
      </c>
      <c r="AJ4" s="112" t="s">
        <v>94</v>
      </c>
      <c r="AL4" s="181"/>
      <c r="AM4" s="181"/>
      <c r="AN4" s="181"/>
      <c r="AO4" s="181"/>
      <c r="AP4" s="181"/>
    </row>
    <row r="5" spans="2:42" ht="18.75" x14ac:dyDescent="0.25">
      <c r="B5" s="37">
        <v>1</v>
      </c>
      <c r="C5" s="139" t="s">
        <v>170</v>
      </c>
      <c r="D5" s="140"/>
      <c r="F5" s="23" t="s">
        <v>228</v>
      </c>
      <c r="G5" s="27" t="s">
        <v>203</v>
      </c>
      <c r="H5" s="23" t="s">
        <v>204</v>
      </c>
      <c r="I5" s="23" t="s">
        <v>204</v>
      </c>
      <c r="J5" s="23" t="s">
        <v>227</v>
      </c>
      <c r="K5" s="23" t="s">
        <v>227</v>
      </c>
      <c r="L5" s="23" t="s">
        <v>228</v>
      </c>
      <c r="M5" s="23" t="s">
        <v>228</v>
      </c>
      <c r="N5" s="23" t="s">
        <v>228</v>
      </c>
      <c r="O5" s="27" t="s">
        <v>203</v>
      </c>
      <c r="P5" s="27" t="s">
        <v>203</v>
      </c>
      <c r="Q5" s="23" t="s">
        <v>204</v>
      </c>
      <c r="R5" s="23" t="s">
        <v>204</v>
      </c>
      <c r="S5" s="23" t="s">
        <v>227</v>
      </c>
      <c r="T5" s="23" t="s">
        <v>228</v>
      </c>
      <c r="U5" s="23" t="s">
        <v>228</v>
      </c>
      <c r="V5" s="23" t="s">
        <v>228</v>
      </c>
      <c r="W5" s="27" t="s">
        <v>203</v>
      </c>
      <c r="X5" s="23" t="s">
        <v>204</v>
      </c>
      <c r="Y5" s="23" t="s">
        <v>204</v>
      </c>
      <c r="Z5" s="23" t="s">
        <v>227</v>
      </c>
      <c r="AA5" s="23" t="s">
        <v>227</v>
      </c>
      <c r="AB5" s="23" t="s">
        <v>228</v>
      </c>
      <c r="AC5" s="23" t="s">
        <v>228</v>
      </c>
      <c r="AD5" s="23" t="s">
        <v>228</v>
      </c>
      <c r="AE5" s="27" t="s">
        <v>203</v>
      </c>
      <c r="AF5" s="23" t="s">
        <v>204</v>
      </c>
      <c r="AG5" s="23" t="s">
        <v>204</v>
      </c>
      <c r="AH5" s="23" t="s">
        <v>227</v>
      </c>
      <c r="AI5" s="23" t="s">
        <v>227</v>
      </c>
      <c r="AJ5" s="23"/>
      <c r="AL5" s="22">
        <f>COUNTIF($F5:$AJ5,"ST*")</f>
        <v>0</v>
      </c>
      <c r="AM5" s="22">
        <f>COUNTIF($F5:$AJ5,"M*")</f>
        <v>5</v>
      </c>
      <c r="AN5" s="22">
        <f>COUNTIF($F5:$AJ5,"A*")</f>
        <v>8</v>
      </c>
      <c r="AO5" s="22">
        <f>COUNTIF($F5:$AJ5,"N*")</f>
        <v>7</v>
      </c>
      <c r="AP5" s="22">
        <f>COUNTIF($F5:$AJ5,"O*")</f>
        <v>10</v>
      </c>
    </row>
    <row r="6" spans="2:42" ht="18.75" x14ac:dyDescent="0.25">
      <c r="B6" s="37">
        <v>2</v>
      </c>
      <c r="C6" s="137" t="s">
        <v>171</v>
      </c>
      <c r="D6" s="138"/>
      <c r="F6" s="57" t="s">
        <v>203</v>
      </c>
      <c r="G6" s="57" t="s">
        <v>203</v>
      </c>
      <c r="H6" s="57" t="s">
        <v>204</v>
      </c>
      <c r="I6" s="57" t="s">
        <v>204</v>
      </c>
      <c r="J6" s="57" t="s">
        <v>227</v>
      </c>
      <c r="K6" s="23" t="s">
        <v>228</v>
      </c>
      <c r="L6" s="23" t="s">
        <v>228</v>
      </c>
      <c r="M6" s="23" t="s">
        <v>228</v>
      </c>
      <c r="N6" s="27" t="s">
        <v>203</v>
      </c>
      <c r="O6" s="52" t="s">
        <v>204</v>
      </c>
      <c r="P6" s="52" t="s">
        <v>204</v>
      </c>
      <c r="Q6" s="23" t="s">
        <v>227</v>
      </c>
      <c r="R6" s="23" t="s">
        <v>227</v>
      </c>
      <c r="S6" s="23" t="s">
        <v>228</v>
      </c>
      <c r="T6" s="23" t="s">
        <v>228</v>
      </c>
      <c r="U6" s="23" t="s">
        <v>228</v>
      </c>
      <c r="V6" s="27" t="s">
        <v>203</v>
      </c>
      <c r="W6" s="52" t="s">
        <v>204</v>
      </c>
      <c r="X6" s="52" t="s">
        <v>204</v>
      </c>
      <c r="Y6" s="23" t="s">
        <v>126</v>
      </c>
      <c r="Z6" s="23" t="s">
        <v>227</v>
      </c>
      <c r="AA6" s="23" t="s">
        <v>228</v>
      </c>
      <c r="AB6" s="23" t="s">
        <v>228</v>
      </c>
      <c r="AC6" s="23" t="s">
        <v>228</v>
      </c>
      <c r="AD6" s="57" t="s">
        <v>203</v>
      </c>
      <c r="AE6" s="57" t="s">
        <v>203</v>
      </c>
      <c r="AF6" s="57" t="s">
        <v>204</v>
      </c>
      <c r="AG6" s="57" t="s">
        <v>204</v>
      </c>
      <c r="AH6" s="57" t="s">
        <v>227</v>
      </c>
      <c r="AI6" s="23" t="s">
        <v>228</v>
      </c>
      <c r="AJ6" s="23"/>
      <c r="AL6" s="22">
        <f t="shared" ref="AL6:AL23" si="0">COUNTIF($F6:$AJ6,"ST*")</f>
        <v>0</v>
      </c>
      <c r="AM6" s="22">
        <f t="shared" ref="AM6:AM23" si="1">COUNTIF($F6:$AJ6,"M*")</f>
        <v>6</v>
      </c>
      <c r="AN6" s="22">
        <f t="shared" ref="AN6:AN23" si="2">COUNTIF($F6:$AJ6,"A*")</f>
        <v>8</v>
      </c>
      <c r="AO6" s="22">
        <f t="shared" ref="AO6:AO23" si="3">COUNTIF($F6:$AJ6,"N*")</f>
        <v>5</v>
      </c>
      <c r="AP6" s="22">
        <f t="shared" ref="AP6:AP23" si="4">COUNTIF($F6:$AJ6,"O*")</f>
        <v>10</v>
      </c>
    </row>
    <row r="7" spans="2:42" ht="18.75" x14ac:dyDescent="0.25">
      <c r="B7" s="37">
        <v>3</v>
      </c>
      <c r="C7" s="137" t="s">
        <v>236</v>
      </c>
      <c r="D7" s="138"/>
      <c r="F7" s="57" t="s">
        <v>203</v>
      </c>
      <c r="G7" s="57" t="s">
        <v>204</v>
      </c>
      <c r="H7" s="57" t="s">
        <v>204</v>
      </c>
      <c r="I7" s="57" t="s">
        <v>227</v>
      </c>
      <c r="J7" s="23" t="s">
        <v>228</v>
      </c>
      <c r="K7" s="23" t="s">
        <v>228</v>
      </c>
      <c r="L7" s="23" t="s">
        <v>228</v>
      </c>
      <c r="M7" s="27" t="s">
        <v>229</v>
      </c>
      <c r="N7" s="27" t="s">
        <v>229</v>
      </c>
      <c r="O7" s="52" t="s">
        <v>204</v>
      </c>
      <c r="P7" s="23" t="s">
        <v>227</v>
      </c>
      <c r="Q7" s="23" t="s">
        <v>227</v>
      </c>
      <c r="R7" s="23" t="s">
        <v>228</v>
      </c>
      <c r="S7" s="23" t="s">
        <v>228</v>
      </c>
      <c r="T7" s="23" t="s">
        <v>228</v>
      </c>
      <c r="U7" s="27" t="s">
        <v>203</v>
      </c>
      <c r="V7" s="52" t="s">
        <v>204</v>
      </c>
      <c r="W7" s="52" t="s">
        <v>204</v>
      </c>
      <c r="X7" s="52" t="s">
        <v>126</v>
      </c>
      <c r="Y7" s="23" t="s">
        <v>227</v>
      </c>
      <c r="Z7" s="23" t="s">
        <v>228</v>
      </c>
      <c r="AA7" s="23" t="s">
        <v>228</v>
      </c>
      <c r="AB7" s="23" t="s">
        <v>228</v>
      </c>
      <c r="AC7" s="57" t="s">
        <v>203</v>
      </c>
      <c r="AD7" s="57" t="s">
        <v>203</v>
      </c>
      <c r="AE7" s="57" t="s">
        <v>204</v>
      </c>
      <c r="AF7" s="57" t="s">
        <v>204</v>
      </c>
      <c r="AG7" s="57" t="s">
        <v>227</v>
      </c>
      <c r="AH7" s="23" t="s">
        <v>228</v>
      </c>
      <c r="AI7" s="23" t="s">
        <v>228</v>
      </c>
      <c r="AJ7" s="23"/>
      <c r="AL7" s="22">
        <f t="shared" si="0"/>
        <v>0</v>
      </c>
      <c r="AM7" s="22">
        <f t="shared" si="1"/>
        <v>4</v>
      </c>
      <c r="AN7" s="22">
        <f t="shared" si="2"/>
        <v>7</v>
      </c>
      <c r="AO7" s="22">
        <f t="shared" si="3"/>
        <v>5</v>
      </c>
      <c r="AP7" s="22">
        <f t="shared" si="4"/>
        <v>11</v>
      </c>
    </row>
    <row r="8" spans="2:42" ht="18.75" x14ac:dyDescent="0.25">
      <c r="B8" s="37">
        <v>4</v>
      </c>
      <c r="C8" s="137" t="s">
        <v>172</v>
      </c>
      <c r="D8" s="138"/>
      <c r="F8" s="52" t="s">
        <v>204</v>
      </c>
      <c r="G8" s="23" t="s">
        <v>227</v>
      </c>
      <c r="H8" s="23" t="s">
        <v>227</v>
      </c>
      <c r="I8" s="23" t="s">
        <v>228</v>
      </c>
      <c r="J8" s="23" t="s">
        <v>228</v>
      </c>
      <c r="K8" s="23" t="s">
        <v>228</v>
      </c>
      <c r="L8" s="27" t="s">
        <v>203</v>
      </c>
      <c r="M8" s="27" t="s">
        <v>203</v>
      </c>
      <c r="N8" s="52" t="s">
        <v>204</v>
      </c>
      <c r="O8" s="52" t="s">
        <v>227</v>
      </c>
      <c r="P8" s="23" t="s">
        <v>227</v>
      </c>
      <c r="Q8" s="23" t="s">
        <v>228</v>
      </c>
      <c r="R8" s="23" t="s">
        <v>228</v>
      </c>
      <c r="S8" s="23" t="s">
        <v>228</v>
      </c>
      <c r="T8" s="27" t="s">
        <v>203</v>
      </c>
      <c r="U8" s="52" t="s">
        <v>204</v>
      </c>
      <c r="V8" s="52" t="s">
        <v>204</v>
      </c>
      <c r="W8" s="23" t="s">
        <v>227</v>
      </c>
      <c r="X8" s="23" t="s">
        <v>227</v>
      </c>
      <c r="Y8" s="23" t="s">
        <v>228</v>
      </c>
      <c r="Z8" s="23" t="s">
        <v>228</v>
      </c>
      <c r="AA8" s="23" t="s">
        <v>228</v>
      </c>
      <c r="AB8" s="27" t="s">
        <v>203</v>
      </c>
      <c r="AC8" s="27" t="s">
        <v>203</v>
      </c>
      <c r="AD8" s="52" t="s">
        <v>204</v>
      </c>
      <c r="AE8" s="23" t="s">
        <v>227</v>
      </c>
      <c r="AF8" s="23" t="s">
        <v>227</v>
      </c>
      <c r="AG8" s="23" t="s">
        <v>228</v>
      </c>
      <c r="AH8" s="23" t="s">
        <v>228</v>
      </c>
      <c r="AI8" s="23" t="s">
        <v>228</v>
      </c>
      <c r="AJ8" s="27"/>
      <c r="AL8" s="22">
        <f t="shared" si="0"/>
        <v>0</v>
      </c>
      <c r="AM8" s="22">
        <f t="shared" si="1"/>
        <v>5</v>
      </c>
      <c r="AN8" s="22">
        <f t="shared" si="2"/>
        <v>5</v>
      </c>
      <c r="AO8" s="22">
        <f t="shared" si="3"/>
        <v>8</v>
      </c>
      <c r="AP8" s="22">
        <f t="shared" si="4"/>
        <v>12</v>
      </c>
    </row>
    <row r="9" spans="2:42" ht="18.75" x14ac:dyDescent="0.25">
      <c r="B9" s="37">
        <v>5</v>
      </c>
      <c r="C9" s="137" t="s">
        <v>173</v>
      </c>
      <c r="D9" s="138"/>
      <c r="F9" s="23" t="s">
        <v>227</v>
      </c>
      <c r="G9" s="23" t="s">
        <v>227</v>
      </c>
      <c r="H9" s="23" t="s">
        <v>228</v>
      </c>
      <c r="I9" s="23" t="s">
        <v>228</v>
      </c>
      <c r="J9" s="23" t="s">
        <v>228</v>
      </c>
      <c r="K9" s="27" t="s">
        <v>203</v>
      </c>
      <c r="L9" s="27" t="s">
        <v>203</v>
      </c>
      <c r="M9" s="52" t="s">
        <v>204</v>
      </c>
      <c r="N9" s="52" t="s">
        <v>204</v>
      </c>
      <c r="O9" s="23" t="s">
        <v>227</v>
      </c>
      <c r="P9" s="23" t="s">
        <v>228</v>
      </c>
      <c r="Q9" s="23" t="s">
        <v>228</v>
      </c>
      <c r="R9" s="23" t="s">
        <v>228</v>
      </c>
      <c r="S9" s="27" t="s">
        <v>203</v>
      </c>
      <c r="T9" s="27" t="s">
        <v>203</v>
      </c>
      <c r="U9" s="52" t="s">
        <v>204</v>
      </c>
      <c r="V9" s="52" t="s">
        <v>227</v>
      </c>
      <c r="W9" s="23" t="s">
        <v>227</v>
      </c>
      <c r="X9" s="23" t="s">
        <v>228</v>
      </c>
      <c r="Y9" s="23" t="s">
        <v>228</v>
      </c>
      <c r="Z9" s="23" t="s">
        <v>228</v>
      </c>
      <c r="AA9" s="27" t="s">
        <v>203</v>
      </c>
      <c r="AB9" s="27" t="s">
        <v>203</v>
      </c>
      <c r="AC9" s="52" t="s">
        <v>204</v>
      </c>
      <c r="AD9" s="23" t="s">
        <v>227</v>
      </c>
      <c r="AE9" s="23" t="s">
        <v>227</v>
      </c>
      <c r="AF9" s="23" t="s">
        <v>228</v>
      </c>
      <c r="AG9" s="23" t="s">
        <v>228</v>
      </c>
      <c r="AH9" s="23" t="s">
        <v>228</v>
      </c>
      <c r="AI9" s="27" t="s">
        <v>203</v>
      </c>
      <c r="AJ9" s="52"/>
      <c r="AL9" s="22">
        <f t="shared" si="0"/>
        <v>0</v>
      </c>
      <c r="AM9" s="22">
        <f t="shared" si="1"/>
        <v>7</v>
      </c>
      <c r="AN9" s="22">
        <f t="shared" si="2"/>
        <v>4</v>
      </c>
      <c r="AO9" s="22">
        <f t="shared" si="3"/>
        <v>7</v>
      </c>
      <c r="AP9" s="22">
        <f t="shared" si="4"/>
        <v>12</v>
      </c>
    </row>
    <row r="10" spans="2:42" ht="18.75" x14ac:dyDescent="0.25">
      <c r="B10" s="37">
        <v>6</v>
      </c>
      <c r="C10" s="137" t="s">
        <v>174</v>
      </c>
      <c r="D10" s="138"/>
      <c r="F10" s="23" t="s">
        <v>227</v>
      </c>
      <c r="G10" s="23" t="s">
        <v>228</v>
      </c>
      <c r="H10" s="23" t="s">
        <v>228</v>
      </c>
      <c r="I10" s="23" t="s">
        <v>228</v>
      </c>
      <c r="J10" s="27" t="s">
        <v>203</v>
      </c>
      <c r="K10" s="27" t="s">
        <v>203</v>
      </c>
      <c r="L10" s="52" t="s">
        <v>204</v>
      </c>
      <c r="M10" s="23" t="s">
        <v>204</v>
      </c>
      <c r="N10" s="23" t="s">
        <v>227</v>
      </c>
      <c r="O10" s="23" t="s">
        <v>228</v>
      </c>
      <c r="P10" s="23" t="s">
        <v>228</v>
      </c>
      <c r="Q10" s="23" t="s">
        <v>228</v>
      </c>
      <c r="R10" s="27" t="s">
        <v>126</v>
      </c>
      <c r="S10" s="27" t="s">
        <v>203</v>
      </c>
      <c r="T10" s="52" t="s">
        <v>204</v>
      </c>
      <c r="U10" s="52" t="s">
        <v>227</v>
      </c>
      <c r="V10" s="23" t="s">
        <v>227</v>
      </c>
      <c r="W10" s="23" t="s">
        <v>228</v>
      </c>
      <c r="X10" s="23" t="s">
        <v>228</v>
      </c>
      <c r="Y10" s="23" t="s">
        <v>228</v>
      </c>
      <c r="Z10" s="27" t="s">
        <v>126</v>
      </c>
      <c r="AA10" s="52" t="s">
        <v>204</v>
      </c>
      <c r="AB10" s="113" t="s">
        <v>227</v>
      </c>
      <c r="AC10" s="23" t="s">
        <v>227</v>
      </c>
      <c r="AD10" s="23" t="s">
        <v>227</v>
      </c>
      <c r="AE10" s="23" t="s">
        <v>228</v>
      </c>
      <c r="AF10" s="23" t="s">
        <v>228</v>
      </c>
      <c r="AG10" s="23" t="s">
        <v>228</v>
      </c>
      <c r="AH10" s="27" t="s">
        <v>203</v>
      </c>
      <c r="AI10" s="27" t="s">
        <v>203</v>
      </c>
      <c r="AJ10" s="23"/>
      <c r="AL10" s="22">
        <f t="shared" si="0"/>
        <v>0</v>
      </c>
      <c r="AM10" s="22">
        <f t="shared" si="1"/>
        <v>5</v>
      </c>
      <c r="AN10" s="22">
        <f t="shared" si="2"/>
        <v>4</v>
      </c>
      <c r="AO10" s="22">
        <f t="shared" si="3"/>
        <v>7</v>
      </c>
      <c r="AP10" s="22">
        <f t="shared" si="4"/>
        <v>12</v>
      </c>
    </row>
    <row r="11" spans="2:42" ht="18.75" x14ac:dyDescent="0.25">
      <c r="B11" s="37">
        <v>7</v>
      </c>
      <c r="C11" s="137" t="s">
        <v>175</v>
      </c>
      <c r="D11" s="138"/>
      <c r="F11" s="23" t="s">
        <v>229</v>
      </c>
      <c r="G11" s="23" t="s">
        <v>228</v>
      </c>
      <c r="H11" s="23" t="s">
        <v>228</v>
      </c>
      <c r="I11" s="27" t="s">
        <v>203</v>
      </c>
      <c r="J11" s="52" t="s">
        <v>204</v>
      </c>
      <c r="K11" s="23" t="s">
        <v>227</v>
      </c>
      <c r="L11" s="23" t="s">
        <v>227</v>
      </c>
      <c r="M11" s="23" t="s">
        <v>227</v>
      </c>
      <c r="N11" s="23" t="s">
        <v>228</v>
      </c>
      <c r="O11" s="23" t="s">
        <v>228</v>
      </c>
      <c r="P11" s="23" t="s">
        <v>228</v>
      </c>
      <c r="Q11" s="27" t="s">
        <v>203</v>
      </c>
      <c r="R11" s="52" t="s">
        <v>203</v>
      </c>
      <c r="S11" s="52" t="s">
        <v>204</v>
      </c>
      <c r="T11" s="23" t="s">
        <v>227</v>
      </c>
      <c r="U11" s="23" t="s">
        <v>227</v>
      </c>
      <c r="V11" s="23" t="s">
        <v>228</v>
      </c>
      <c r="W11" s="23" t="s">
        <v>228</v>
      </c>
      <c r="X11" s="23" t="s">
        <v>228</v>
      </c>
      <c r="Y11" s="27" t="s">
        <v>203</v>
      </c>
      <c r="Z11" s="52" t="s">
        <v>203</v>
      </c>
      <c r="AA11" s="52" t="s">
        <v>204</v>
      </c>
      <c r="AB11" s="23" t="s">
        <v>227</v>
      </c>
      <c r="AC11" s="23" t="s">
        <v>227</v>
      </c>
      <c r="AD11" s="23" t="s">
        <v>228</v>
      </c>
      <c r="AE11" s="23" t="s">
        <v>228</v>
      </c>
      <c r="AF11" s="23" t="s">
        <v>228</v>
      </c>
      <c r="AG11" s="27" t="s">
        <v>203</v>
      </c>
      <c r="AH11" s="52" t="s">
        <v>204</v>
      </c>
      <c r="AI11" s="23" t="s">
        <v>227</v>
      </c>
      <c r="AJ11" s="23"/>
      <c r="AL11" s="22">
        <f t="shared" si="0"/>
        <v>0</v>
      </c>
      <c r="AM11" s="22">
        <f t="shared" si="1"/>
        <v>6</v>
      </c>
      <c r="AN11" s="22">
        <f t="shared" si="2"/>
        <v>4</v>
      </c>
      <c r="AO11" s="22">
        <f t="shared" si="3"/>
        <v>8</v>
      </c>
      <c r="AP11" s="22">
        <f t="shared" si="4"/>
        <v>11</v>
      </c>
    </row>
    <row r="12" spans="2:42" ht="18.75" x14ac:dyDescent="0.25">
      <c r="B12" s="37">
        <v>8</v>
      </c>
      <c r="C12" s="137" t="s">
        <v>176</v>
      </c>
      <c r="D12" s="138"/>
      <c r="F12" s="23" t="s">
        <v>228</v>
      </c>
      <c r="G12" s="23" t="s">
        <v>228</v>
      </c>
      <c r="H12" s="57" t="s">
        <v>203</v>
      </c>
      <c r="I12" s="57" t="s">
        <v>203</v>
      </c>
      <c r="J12" s="57" t="s">
        <v>204</v>
      </c>
      <c r="K12" s="57" t="s">
        <v>204</v>
      </c>
      <c r="L12" s="57" t="s">
        <v>227</v>
      </c>
      <c r="M12" s="57" t="s">
        <v>228</v>
      </c>
      <c r="N12" s="57" t="s">
        <v>228</v>
      </c>
      <c r="O12" s="57" t="s">
        <v>228</v>
      </c>
      <c r="P12" s="57" t="s">
        <v>203</v>
      </c>
      <c r="Q12" s="57" t="s">
        <v>126</v>
      </c>
      <c r="R12" s="57" t="s">
        <v>204</v>
      </c>
      <c r="S12" s="57" t="s">
        <v>204</v>
      </c>
      <c r="T12" s="57" t="s">
        <v>227</v>
      </c>
      <c r="U12" s="23" t="s">
        <v>228</v>
      </c>
      <c r="V12" s="23" t="s">
        <v>228</v>
      </c>
      <c r="W12" s="23" t="s">
        <v>228</v>
      </c>
      <c r="X12" s="27" t="s">
        <v>203</v>
      </c>
      <c r="Y12" s="52" t="s">
        <v>204</v>
      </c>
      <c r="Z12" s="52" t="s">
        <v>204</v>
      </c>
      <c r="AA12" s="23" t="s">
        <v>227</v>
      </c>
      <c r="AB12" s="23" t="s">
        <v>227</v>
      </c>
      <c r="AC12" s="23" t="s">
        <v>228</v>
      </c>
      <c r="AD12" s="23" t="s">
        <v>228</v>
      </c>
      <c r="AE12" s="23" t="s">
        <v>228</v>
      </c>
      <c r="AF12" s="57" t="s">
        <v>203</v>
      </c>
      <c r="AG12" s="57" t="s">
        <v>203</v>
      </c>
      <c r="AH12" s="57" t="s">
        <v>204</v>
      </c>
      <c r="AI12" s="57" t="s">
        <v>204</v>
      </c>
      <c r="AJ12" s="23"/>
      <c r="AL12" s="22">
        <f t="shared" si="0"/>
        <v>0</v>
      </c>
      <c r="AM12" s="22">
        <f t="shared" si="1"/>
        <v>6</v>
      </c>
      <c r="AN12" s="22">
        <f t="shared" si="2"/>
        <v>8</v>
      </c>
      <c r="AO12" s="22">
        <f t="shared" si="3"/>
        <v>4</v>
      </c>
      <c r="AP12" s="22">
        <f t="shared" si="4"/>
        <v>11</v>
      </c>
    </row>
    <row r="13" spans="2:42" ht="18.75" x14ac:dyDescent="0.25">
      <c r="B13" s="37">
        <v>9</v>
      </c>
      <c r="C13" s="137" t="s">
        <v>177</v>
      </c>
      <c r="D13" s="138"/>
      <c r="F13" s="23" t="s">
        <v>228</v>
      </c>
      <c r="G13" s="27" t="s">
        <v>203</v>
      </c>
      <c r="H13" s="52" t="s">
        <v>203</v>
      </c>
      <c r="I13" s="52" t="s">
        <v>204</v>
      </c>
      <c r="J13" s="23" t="s">
        <v>227</v>
      </c>
      <c r="K13" s="23" t="s">
        <v>227</v>
      </c>
      <c r="L13" s="23" t="s">
        <v>228</v>
      </c>
      <c r="M13" s="23" t="s">
        <v>228</v>
      </c>
      <c r="N13" s="23" t="s">
        <v>228</v>
      </c>
      <c r="O13" s="27" t="s">
        <v>203</v>
      </c>
      <c r="P13" s="52" t="s">
        <v>204</v>
      </c>
      <c r="Q13" s="52" t="s">
        <v>204</v>
      </c>
      <c r="R13" s="23" t="s">
        <v>227</v>
      </c>
      <c r="S13" s="23" t="s">
        <v>227</v>
      </c>
      <c r="T13" s="23" t="s">
        <v>228</v>
      </c>
      <c r="U13" s="23" t="s">
        <v>228</v>
      </c>
      <c r="V13" s="23" t="s">
        <v>228</v>
      </c>
      <c r="W13" s="27" t="s">
        <v>203</v>
      </c>
      <c r="X13" s="27" t="s">
        <v>203</v>
      </c>
      <c r="Y13" s="52" t="s">
        <v>204</v>
      </c>
      <c r="Z13" s="52" t="s">
        <v>204</v>
      </c>
      <c r="AA13" s="52" t="s">
        <v>227</v>
      </c>
      <c r="AB13" s="113" t="s">
        <v>228</v>
      </c>
      <c r="AC13" s="23" t="s">
        <v>228</v>
      </c>
      <c r="AD13" s="23" t="s">
        <v>228</v>
      </c>
      <c r="AE13" s="27" t="s">
        <v>203</v>
      </c>
      <c r="AF13" s="52" t="s">
        <v>203</v>
      </c>
      <c r="AG13" s="52" t="s">
        <v>204</v>
      </c>
      <c r="AH13" s="23" t="s">
        <v>227</v>
      </c>
      <c r="AI13" s="23" t="s">
        <v>227</v>
      </c>
      <c r="AJ13" s="23"/>
      <c r="AL13" s="22">
        <f t="shared" si="0"/>
        <v>0</v>
      </c>
      <c r="AM13" s="22">
        <f t="shared" si="1"/>
        <v>7</v>
      </c>
      <c r="AN13" s="22">
        <f t="shared" si="2"/>
        <v>6</v>
      </c>
      <c r="AO13" s="22">
        <f t="shared" si="3"/>
        <v>7</v>
      </c>
      <c r="AP13" s="22">
        <f t="shared" si="4"/>
        <v>10</v>
      </c>
    </row>
    <row r="14" spans="2:42" ht="18.75" x14ac:dyDescent="0.25">
      <c r="B14" s="37">
        <v>10</v>
      </c>
      <c r="C14" s="137" t="s">
        <v>178</v>
      </c>
      <c r="D14" s="138"/>
      <c r="F14" s="27" t="s">
        <v>203</v>
      </c>
      <c r="G14" s="52" t="s">
        <v>204</v>
      </c>
      <c r="H14" s="52" t="s">
        <v>204</v>
      </c>
      <c r="I14" s="23" t="s">
        <v>227</v>
      </c>
      <c r="J14" s="23" t="s">
        <v>227</v>
      </c>
      <c r="K14" s="23" t="s">
        <v>228</v>
      </c>
      <c r="L14" s="23" t="s">
        <v>228</v>
      </c>
      <c r="M14" s="23" t="s">
        <v>228</v>
      </c>
      <c r="N14" s="57" t="s">
        <v>203</v>
      </c>
      <c r="O14" s="57" t="s">
        <v>203</v>
      </c>
      <c r="P14" s="57" t="s">
        <v>204</v>
      </c>
      <c r="Q14" s="57" t="s">
        <v>204</v>
      </c>
      <c r="R14" s="57" t="s">
        <v>227</v>
      </c>
      <c r="S14" s="23" t="s">
        <v>228</v>
      </c>
      <c r="T14" s="23" t="s">
        <v>228</v>
      </c>
      <c r="U14" s="23" t="s">
        <v>228</v>
      </c>
      <c r="V14" s="27" t="s">
        <v>203</v>
      </c>
      <c r="W14" s="52" t="s">
        <v>203</v>
      </c>
      <c r="X14" s="52" t="s">
        <v>204</v>
      </c>
      <c r="Y14" s="52" t="s">
        <v>227</v>
      </c>
      <c r="Z14" s="23" t="s">
        <v>227</v>
      </c>
      <c r="AA14" s="23" t="s">
        <v>228</v>
      </c>
      <c r="AB14" s="23" t="s">
        <v>228</v>
      </c>
      <c r="AC14" s="23" t="s">
        <v>228</v>
      </c>
      <c r="AD14" s="27" t="s">
        <v>203</v>
      </c>
      <c r="AE14" s="52" t="s">
        <v>204</v>
      </c>
      <c r="AF14" s="52" t="s">
        <v>204</v>
      </c>
      <c r="AG14" s="23" t="s">
        <v>227</v>
      </c>
      <c r="AH14" s="23" t="s">
        <v>227</v>
      </c>
      <c r="AI14" s="23" t="s">
        <v>228</v>
      </c>
      <c r="AJ14" s="23"/>
      <c r="AL14" s="22">
        <f t="shared" si="0"/>
        <v>0</v>
      </c>
      <c r="AM14" s="22">
        <f t="shared" si="1"/>
        <v>6</v>
      </c>
      <c r="AN14" s="22">
        <f t="shared" si="2"/>
        <v>7</v>
      </c>
      <c r="AO14" s="22">
        <f t="shared" si="3"/>
        <v>7</v>
      </c>
      <c r="AP14" s="22">
        <f t="shared" si="4"/>
        <v>10</v>
      </c>
    </row>
    <row r="15" spans="2:42" ht="18.75" x14ac:dyDescent="0.25">
      <c r="B15" s="37">
        <v>11</v>
      </c>
      <c r="C15" s="137" t="s">
        <v>179</v>
      </c>
      <c r="D15" s="138"/>
      <c r="F15" s="27" t="s">
        <v>203</v>
      </c>
      <c r="G15" s="52" t="s">
        <v>204</v>
      </c>
      <c r="H15" s="23" t="s">
        <v>227</v>
      </c>
      <c r="I15" s="23" t="s">
        <v>227</v>
      </c>
      <c r="J15" s="23" t="s">
        <v>228</v>
      </c>
      <c r="K15" s="23" t="s">
        <v>228</v>
      </c>
      <c r="L15" s="23" t="s">
        <v>228</v>
      </c>
      <c r="M15" s="27" t="s">
        <v>203</v>
      </c>
      <c r="N15" s="27" t="s">
        <v>203</v>
      </c>
      <c r="O15" s="52" t="s">
        <v>204</v>
      </c>
      <c r="P15" s="52" t="s">
        <v>204</v>
      </c>
      <c r="Q15" s="52" t="s">
        <v>227</v>
      </c>
      <c r="R15" s="23" t="s">
        <v>228</v>
      </c>
      <c r="S15" s="23" t="s">
        <v>228</v>
      </c>
      <c r="T15" s="23" t="s">
        <v>228</v>
      </c>
      <c r="U15" s="27" t="s">
        <v>203</v>
      </c>
      <c r="V15" s="27" t="s">
        <v>203</v>
      </c>
      <c r="W15" s="52" t="s">
        <v>204</v>
      </c>
      <c r="X15" s="23" t="s">
        <v>126</v>
      </c>
      <c r="Y15" s="52" t="s">
        <v>227</v>
      </c>
      <c r="Z15" s="23" t="s">
        <v>228</v>
      </c>
      <c r="AA15" s="23" t="s">
        <v>228</v>
      </c>
      <c r="AB15" s="23" t="s">
        <v>228</v>
      </c>
      <c r="AC15" s="27" t="s">
        <v>203</v>
      </c>
      <c r="AD15" s="27" t="s">
        <v>203</v>
      </c>
      <c r="AE15" s="52" t="s">
        <v>204</v>
      </c>
      <c r="AF15" s="23" t="s">
        <v>227</v>
      </c>
      <c r="AG15" s="23" t="s">
        <v>227</v>
      </c>
      <c r="AH15" s="23" t="s">
        <v>228</v>
      </c>
      <c r="AI15" s="23" t="s">
        <v>228</v>
      </c>
      <c r="AJ15" s="27"/>
      <c r="AL15" s="22">
        <f t="shared" si="0"/>
        <v>0</v>
      </c>
      <c r="AM15" s="22">
        <f t="shared" si="1"/>
        <v>7</v>
      </c>
      <c r="AN15" s="22">
        <f t="shared" si="2"/>
        <v>5</v>
      </c>
      <c r="AO15" s="22">
        <f t="shared" si="3"/>
        <v>6</v>
      </c>
      <c r="AP15" s="22">
        <f t="shared" si="4"/>
        <v>11</v>
      </c>
    </row>
    <row r="16" spans="2:42" ht="18.75" x14ac:dyDescent="0.25">
      <c r="B16" s="37">
        <v>12</v>
      </c>
      <c r="C16" s="137" t="s">
        <v>180</v>
      </c>
      <c r="D16" s="138"/>
      <c r="F16" s="52" t="s">
        <v>204</v>
      </c>
      <c r="G16" s="52" t="s">
        <v>204</v>
      </c>
      <c r="H16" s="23" t="s">
        <v>227</v>
      </c>
      <c r="I16" s="23" t="s">
        <v>228</v>
      </c>
      <c r="J16" s="23" t="s">
        <v>228</v>
      </c>
      <c r="K16" s="23" t="s">
        <v>228</v>
      </c>
      <c r="L16" s="27" t="s">
        <v>203</v>
      </c>
      <c r="M16" s="52" t="s">
        <v>203</v>
      </c>
      <c r="N16" s="52" t="s">
        <v>204</v>
      </c>
      <c r="O16" s="114" t="s">
        <v>227</v>
      </c>
      <c r="P16" s="23" t="s">
        <v>227</v>
      </c>
      <c r="Q16" s="23" t="s">
        <v>228</v>
      </c>
      <c r="R16" s="23" t="s">
        <v>228</v>
      </c>
      <c r="S16" s="23" t="s">
        <v>228</v>
      </c>
      <c r="T16" s="27" t="s">
        <v>203</v>
      </c>
      <c r="U16" s="27" t="s">
        <v>203</v>
      </c>
      <c r="V16" s="52" t="s">
        <v>204</v>
      </c>
      <c r="W16" s="52" t="s">
        <v>204</v>
      </c>
      <c r="X16" s="23" t="s">
        <v>227</v>
      </c>
      <c r="Y16" s="23" t="s">
        <v>228</v>
      </c>
      <c r="Z16" s="23" t="s">
        <v>228</v>
      </c>
      <c r="AA16" s="23" t="s">
        <v>228</v>
      </c>
      <c r="AB16" s="27" t="s">
        <v>203</v>
      </c>
      <c r="AC16" s="27" t="s">
        <v>203</v>
      </c>
      <c r="AD16" s="52" t="s">
        <v>204</v>
      </c>
      <c r="AE16" s="52" t="s">
        <v>204</v>
      </c>
      <c r="AF16" s="23" t="s">
        <v>227</v>
      </c>
      <c r="AG16" s="23" t="s">
        <v>228</v>
      </c>
      <c r="AH16" s="23" t="s">
        <v>228</v>
      </c>
      <c r="AI16" s="23" t="s">
        <v>228</v>
      </c>
      <c r="AJ16" s="27"/>
      <c r="AL16" s="22">
        <f t="shared" si="0"/>
        <v>0</v>
      </c>
      <c r="AM16" s="22">
        <f t="shared" si="1"/>
        <v>6</v>
      </c>
      <c r="AN16" s="22">
        <f t="shared" si="2"/>
        <v>7</v>
      </c>
      <c r="AO16" s="22">
        <f t="shared" si="3"/>
        <v>5</v>
      </c>
      <c r="AP16" s="22">
        <f t="shared" si="4"/>
        <v>12</v>
      </c>
    </row>
    <row r="17" spans="2:42" ht="18.75" x14ac:dyDescent="0.25">
      <c r="B17" s="37">
        <v>13</v>
      </c>
      <c r="C17" s="137" t="s">
        <v>181</v>
      </c>
      <c r="D17" s="138"/>
      <c r="F17" s="52" t="s">
        <v>204</v>
      </c>
      <c r="G17" s="23" t="s">
        <v>227</v>
      </c>
      <c r="H17" s="23" t="s">
        <v>228</v>
      </c>
      <c r="I17" s="23" t="s">
        <v>228</v>
      </c>
      <c r="J17" s="23" t="s">
        <v>228</v>
      </c>
      <c r="K17" s="27" t="s">
        <v>203</v>
      </c>
      <c r="L17" s="52" t="s">
        <v>204</v>
      </c>
      <c r="M17" s="52" t="s">
        <v>204</v>
      </c>
      <c r="N17" s="23" t="s">
        <v>227</v>
      </c>
      <c r="O17" s="23" t="s">
        <v>227</v>
      </c>
      <c r="P17" s="23" t="s">
        <v>228</v>
      </c>
      <c r="Q17" s="23" t="s">
        <v>228</v>
      </c>
      <c r="R17" s="23" t="s">
        <v>228</v>
      </c>
      <c r="S17" s="27" t="s">
        <v>203</v>
      </c>
      <c r="T17" s="52" t="s">
        <v>204</v>
      </c>
      <c r="U17" s="52" t="s">
        <v>204</v>
      </c>
      <c r="V17" s="23" t="s">
        <v>227</v>
      </c>
      <c r="W17" s="23" t="s">
        <v>227</v>
      </c>
      <c r="X17" s="23" t="s">
        <v>228</v>
      </c>
      <c r="Y17" s="23" t="s">
        <v>228</v>
      </c>
      <c r="Z17" s="23" t="s">
        <v>228</v>
      </c>
      <c r="AA17" s="27" t="s">
        <v>203</v>
      </c>
      <c r="AB17" s="52" t="s">
        <v>204</v>
      </c>
      <c r="AC17" s="52" t="s">
        <v>204</v>
      </c>
      <c r="AD17" s="52" t="s">
        <v>204</v>
      </c>
      <c r="AE17" s="23" t="s">
        <v>227</v>
      </c>
      <c r="AF17" s="23" t="s">
        <v>228</v>
      </c>
      <c r="AG17" s="23" t="s">
        <v>228</v>
      </c>
      <c r="AH17" s="23" t="s">
        <v>228</v>
      </c>
      <c r="AI17" s="27" t="s">
        <v>203</v>
      </c>
      <c r="AJ17" s="52"/>
      <c r="AL17" s="22">
        <f t="shared" si="0"/>
        <v>0</v>
      </c>
      <c r="AM17" s="22">
        <f t="shared" si="1"/>
        <v>4</v>
      </c>
      <c r="AN17" s="22">
        <f t="shared" si="2"/>
        <v>8</v>
      </c>
      <c r="AO17" s="22">
        <f t="shared" si="3"/>
        <v>6</v>
      </c>
      <c r="AP17" s="22">
        <f t="shared" si="4"/>
        <v>12</v>
      </c>
    </row>
    <row r="18" spans="2:42" ht="18.75" x14ac:dyDescent="0.25">
      <c r="B18" s="37">
        <v>14</v>
      </c>
      <c r="C18" s="137" t="s">
        <v>182</v>
      </c>
      <c r="D18" s="138"/>
      <c r="F18" s="23" t="s">
        <v>227</v>
      </c>
      <c r="G18" s="23" t="s">
        <v>228</v>
      </c>
      <c r="H18" s="23" t="s">
        <v>228</v>
      </c>
      <c r="I18" s="23" t="s">
        <v>228</v>
      </c>
      <c r="J18" s="27" t="s">
        <v>203</v>
      </c>
      <c r="K18" s="52" t="s">
        <v>204</v>
      </c>
      <c r="L18" s="52" t="s">
        <v>204</v>
      </c>
      <c r="M18" s="52" t="s">
        <v>227</v>
      </c>
      <c r="N18" s="52" t="s">
        <v>227</v>
      </c>
      <c r="O18" s="23" t="s">
        <v>228</v>
      </c>
      <c r="P18" s="23" t="s">
        <v>228</v>
      </c>
      <c r="Q18" s="23" t="s">
        <v>228</v>
      </c>
      <c r="R18" s="27" t="s">
        <v>203</v>
      </c>
      <c r="S18" s="52" t="s">
        <v>204</v>
      </c>
      <c r="T18" s="52" t="s">
        <v>204</v>
      </c>
      <c r="U18" s="23" t="s">
        <v>227</v>
      </c>
      <c r="V18" s="23" t="s">
        <v>227</v>
      </c>
      <c r="W18" s="23" t="s">
        <v>228</v>
      </c>
      <c r="X18" s="23" t="s">
        <v>228</v>
      </c>
      <c r="Y18" s="23" t="s">
        <v>228</v>
      </c>
      <c r="Z18" s="27" t="s">
        <v>203</v>
      </c>
      <c r="AA18" s="27" t="s">
        <v>203</v>
      </c>
      <c r="AB18" s="52" t="s">
        <v>204</v>
      </c>
      <c r="AC18" s="52" t="s">
        <v>204</v>
      </c>
      <c r="AD18" s="23" t="s">
        <v>227</v>
      </c>
      <c r="AE18" s="23" t="s">
        <v>228</v>
      </c>
      <c r="AF18" s="23" t="s">
        <v>228</v>
      </c>
      <c r="AG18" s="23" t="s">
        <v>228</v>
      </c>
      <c r="AH18" s="27" t="s">
        <v>203</v>
      </c>
      <c r="AI18" s="52" t="s">
        <v>204</v>
      </c>
      <c r="AJ18" s="52"/>
      <c r="AL18" s="22">
        <f t="shared" si="0"/>
        <v>0</v>
      </c>
      <c r="AM18" s="22">
        <f t="shared" si="1"/>
        <v>5</v>
      </c>
      <c r="AN18" s="22">
        <f t="shared" si="2"/>
        <v>7</v>
      </c>
      <c r="AO18" s="22">
        <f t="shared" si="3"/>
        <v>6</v>
      </c>
      <c r="AP18" s="22">
        <f t="shared" si="4"/>
        <v>12</v>
      </c>
    </row>
    <row r="19" spans="2:42" ht="18.75" x14ac:dyDescent="0.25">
      <c r="B19" s="37">
        <v>15</v>
      </c>
      <c r="C19" s="137" t="s">
        <v>183</v>
      </c>
      <c r="D19" s="138"/>
      <c r="F19" s="23" t="s">
        <v>228</v>
      </c>
      <c r="G19" s="23" t="s">
        <v>228</v>
      </c>
      <c r="H19" s="23" t="s">
        <v>228</v>
      </c>
      <c r="I19" s="27" t="s">
        <v>203</v>
      </c>
      <c r="J19" s="27" t="s">
        <v>203</v>
      </c>
      <c r="K19" s="52" t="s">
        <v>204</v>
      </c>
      <c r="L19" s="23" t="s">
        <v>227</v>
      </c>
      <c r="M19" s="23" t="s">
        <v>227</v>
      </c>
      <c r="N19" s="23" t="s">
        <v>228</v>
      </c>
      <c r="O19" s="23" t="s">
        <v>228</v>
      </c>
      <c r="P19" s="23" t="s">
        <v>228</v>
      </c>
      <c r="Q19" s="27" t="s">
        <v>203</v>
      </c>
      <c r="R19" s="27" t="s">
        <v>203</v>
      </c>
      <c r="S19" s="52" t="s">
        <v>204</v>
      </c>
      <c r="T19" s="23" t="s">
        <v>227</v>
      </c>
      <c r="U19" s="23" t="s">
        <v>227</v>
      </c>
      <c r="V19" s="23" t="s">
        <v>228</v>
      </c>
      <c r="W19" s="23" t="s">
        <v>228</v>
      </c>
      <c r="X19" s="23" t="s">
        <v>228</v>
      </c>
      <c r="Y19" s="27" t="s">
        <v>203</v>
      </c>
      <c r="Z19" s="27" t="s">
        <v>203</v>
      </c>
      <c r="AA19" s="52" t="s">
        <v>204</v>
      </c>
      <c r="AB19" s="52" t="s">
        <v>204</v>
      </c>
      <c r="AC19" s="23" t="s">
        <v>227</v>
      </c>
      <c r="AD19" s="23" t="s">
        <v>228</v>
      </c>
      <c r="AE19" s="23" t="s">
        <v>228</v>
      </c>
      <c r="AF19" s="23" t="s">
        <v>228</v>
      </c>
      <c r="AG19" s="27" t="s">
        <v>203</v>
      </c>
      <c r="AH19" s="27" t="s">
        <v>203</v>
      </c>
      <c r="AI19" s="52" t="s">
        <v>204</v>
      </c>
      <c r="AJ19" s="23"/>
      <c r="AL19" s="42">
        <f t="shared" si="0"/>
        <v>0</v>
      </c>
      <c r="AM19" s="42">
        <f t="shared" si="1"/>
        <v>8</v>
      </c>
      <c r="AN19" s="42">
        <f t="shared" si="2"/>
        <v>5</v>
      </c>
      <c r="AO19" s="42">
        <f t="shared" si="3"/>
        <v>5</v>
      </c>
      <c r="AP19" s="42">
        <f t="shared" si="4"/>
        <v>12</v>
      </c>
    </row>
    <row r="20" spans="2:42" ht="18.75" x14ac:dyDescent="0.25">
      <c r="B20" s="37">
        <v>16</v>
      </c>
      <c r="C20" s="137" t="s">
        <v>184</v>
      </c>
      <c r="D20" s="138"/>
      <c r="F20" s="23" t="s">
        <v>228</v>
      </c>
      <c r="G20" s="23" t="s">
        <v>228</v>
      </c>
      <c r="H20" s="27" t="s">
        <v>229</v>
      </c>
      <c r="I20" s="27" t="s">
        <v>229</v>
      </c>
      <c r="J20" s="52" t="s">
        <v>229</v>
      </c>
      <c r="K20" s="52" t="s">
        <v>229</v>
      </c>
      <c r="L20" s="52" t="s">
        <v>229</v>
      </c>
      <c r="M20" s="23" t="s">
        <v>229</v>
      </c>
      <c r="N20" s="23" t="s">
        <v>229</v>
      </c>
      <c r="O20" s="23" t="s">
        <v>228</v>
      </c>
      <c r="P20" s="27" t="s">
        <v>203</v>
      </c>
      <c r="Q20" s="27" t="s">
        <v>203</v>
      </c>
      <c r="R20" s="52" t="s">
        <v>204</v>
      </c>
      <c r="S20" s="23" t="s">
        <v>227</v>
      </c>
      <c r="T20" s="23" t="s">
        <v>227</v>
      </c>
      <c r="U20" s="23" t="s">
        <v>228</v>
      </c>
      <c r="V20" s="23" t="s">
        <v>228</v>
      </c>
      <c r="W20" s="23" t="s">
        <v>228</v>
      </c>
      <c r="X20" s="27" t="s">
        <v>203</v>
      </c>
      <c r="Y20" s="27" t="s">
        <v>203</v>
      </c>
      <c r="Z20" s="52" t="s">
        <v>204</v>
      </c>
      <c r="AA20" s="52" t="s">
        <v>204</v>
      </c>
      <c r="AB20" s="23" t="s">
        <v>227</v>
      </c>
      <c r="AC20" s="23" t="s">
        <v>228</v>
      </c>
      <c r="AD20" s="23" t="s">
        <v>228</v>
      </c>
      <c r="AE20" s="23" t="s">
        <v>228</v>
      </c>
      <c r="AF20" s="27" t="s">
        <v>203</v>
      </c>
      <c r="AG20" s="27" t="s">
        <v>203</v>
      </c>
      <c r="AH20" s="52" t="s">
        <v>204</v>
      </c>
      <c r="AI20" s="52" t="s">
        <v>204</v>
      </c>
      <c r="AJ20" s="23"/>
      <c r="AL20" s="42">
        <f t="shared" si="0"/>
        <v>0</v>
      </c>
      <c r="AM20" s="42">
        <f t="shared" si="1"/>
        <v>6</v>
      </c>
      <c r="AN20" s="42">
        <f t="shared" si="2"/>
        <v>5</v>
      </c>
      <c r="AO20" s="42">
        <f t="shared" si="3"/>
        <v>3</v>
      </c>
      <c r="AP20" s="42">
        <f t="shared" si="4"/>
        <v>9</v>
      </c>
    </row>
    <row r="21" spans="2:42" ht="18.75" x14ac:dyDescent="0.25">
      <c r="B21" s="37">
        <v>17</v>
      </c>
      <c r="C21" s="137" t="s">
        <v>185</v>
      </c>
      <c r="D21" s="138"/>
      <c r="F21" s="23" t="s">
        <v>228</v>
      </c>
      <c r="G21" s="27" t="s">
        <v>203</v>
      </c>
      <c r="H21" s="27" t="s">
        <v>203</v>
      </c>
      <c r="I21" s="52" t="s">
        <v>204</v>
      </c>
      <c r="J21" s="52" t="s">
        <v>204</v>
      </c>
      <c r="K21" s="52" t="s">
        <v>227</v>
      </c>
      <c r="L21" s="23" t="s">
        <v>228</v>
      </c>
      <c r="M21" s="23" t="s">
        <v>228</v>
      </c>
      <c r="N21" s="23" t="s">
        <v>228</v>
      </c>
      <c r="O21" s="27" t="s">
        <v>203</v>
      </c>
      <c r="P21" s="27" t="s">
        <v>203</v>
      </c>
      <c r="Q21" s="52" t="s">
        <v>126</v>
      </c>
      <c r="R21" s="23" t="s">
        <v>227</v>
      </c>
      <c r="S21" s="23" t="s">
        <v>227</v>
      </c>
      <c r="T21" s="23" t="s">
        <v>228</v>
      </c>
      <c r="U21" s="23" t="s">
        <v>228</v>
      </c>
      <c r="V21" s="23" t="s">
        <v>228</v>
      </c>
      <c r="W21" s="27" t="s">
        <v>203</v>
      </c>
      <c r="X21" s="52" t="s">
        <v>126</v>
      </c>
      <c r="Y21" s="52" t="s">
        <v>204</v>
      </c>
      <c r="Z21" s="52" t="s">
        <v>204</v>
      </c>
      <c r="AA21" s="23" t="s">
        <v>227</v>
      </c>
      <c r="AB21" s="23" t="s">
        <v>228</v>
      </c>
      <c r="AC21" s="23" t="s">
        <v>228</v>
      </c>
      <c r="AD21" s="23" t="s">
        <v>228</v>
      </c>
      <c r="AE21" s="27" t="s">
        <v>203</v>
      </c>
      <c r="AF21" s="27" t="s">
        <v>203</v>
      </c>
      <c r="AG21" s="52" t="s">
        <v>204</v>
      </c>
      <c r="AH21" s="52" t="s">
        <v>204</v>
      </c>
      <c r="AI21" s="52" t="s">
        <v>227</v>
      </c>
      <c r="AJ21" s="23"/>
      <c r="AL21" s="51">
        <f t="shared" si="0"/>
        <v>0</v>
      </c>
      <c r="AM21" s="51">
        <f t="shared" si="1"/>
        <v>7</v>
      </c>
      <c r="AN21" s="51">
        <f t="shared" si="2"/>
        <v>6</v>
      </c>
      <c r="AO21" s="51">
        <f t="shared" si="3"/>
        <v>5</v>
      </c>
      <c r="AP21" s="51">
        <f t="shared" si="4"/>
        <v>10</v>
      </c>
    </row>
    <row r="22" spans="2:42" ht="18.75" x14ac:dyDescent="0.25">
      <c r="B22" s="37">
        <v>18</v>
      </c>
      <c r="C22" s="55" t="s">
        <v>168</v>
      </c>
      <c r="D22" s="56"/>
      <c r="F22" s="117" t="s">
        <v>204</v>
      </c>
      <c r="G22" s="118" t="s">
        <v>204</v>
      </c>
      <c r="H22" s="118" t="s">
        <v>228</v>
      </c>
      <c r="I22" s="117" t="s">
        <v>228</v>
      </c>
      <c r="J22" s="119" t="s">
        <v>203</v>
      </c>
      <c r="K22" s="119" t="s">
        <v>203</v>
      </c>
      <c r="L22" s="117" t="s">
        <v>204</v>
      </c>
      <c r="M22" s="117" t="s">
        <v>204</v>
      </c>
      <c r="N22" s="118" t="s">
        <v>204</v>
      </c>
      <c r="O22" s="118" t="s">
        <v>228</v>
      </c>
      <c r="P22" s="117" t="s">
        <v>228</v>
      </c>
      <c r="Q22" s="119" t="s">
        <v>203</v>
      </c>
      <c r="R22" s="119" t="s">
        <v>203</v>
      </c>
      <c r="S22" s="118" t="s">
        <v>204</v>
      </c>
      <c r="T22" s="119" t="s">
        <v>204</v>
      </c>
      <c r="U22" s="119" t="s">
        <v>204</v>
      </c>
      <c r="V22" s="117" t="s">
        <v>228</v>
      </c>
      <c r="W22" s="117" t="s">
        <v>228</v>
      </c>
      <c r="X22" s="118" t="s">
        <v>203</v>
      </c>
      <c r="Y22" s="118" t="s">
        <v>203</v>
      </c>
      <c r="Z22" s="118" t="s">
        <v>204</v>
      </c>
      <c r="AA22" s="119" t="s">
        <v>204</v>
      </c>
      <c r="AB22" s="119" t="s">
        <v>204</v>
      </c>
      <c r="AC22" s="117" t="s">
        <v>228</v>
      </c>
      <c r="AD22" s="117" t="s">
        <v>228</v>
      </c>
      <c r="AE22" s="118" t="s">
        <v>203</v>
      </c>
      <c r="AF22" s="118" t="s">
        <v>203</v>
      </c>
      <c r="AG22" s="117" t="s">
        <v>204</v>
      </c>
      <c r="AH22" s="119" t="s">
        <v>204</v>
      </c>
      <c r="AI22" s="119" t="s">
        <v>204</v>
      </c>
      <c r="AJ22" s="27"/>
      <c r="AL22" s="51">
        <f t="shared" si="0"/>
        <v>0</v>
      </c>
      <c r="AM22" s="51">
        <f t="shared" si="1"/>
        <v>8</v>
      </c>
      <c r="AN22" s="51">
        <f t="shared" si="2"/>
        <v>14</v>
      </c>
      <c r="AO22" s="51">
        <f t="shared" si="3"/>
        <v>0</v>
      </c>
      <c r="AP22" s="51">
        <f t="shared" si="4"/>
        <v>8</v>
      </c>
    </row>
    <row r="23" spans="2:42" ht="19.5" thickBot="1" x14ac:dyDescent="0.3">
      <c r="B23" s="37">
        <v>19</v>
      </c>
      <c r="C23" s="137" t="s">
        <v>169</v>
      </c>
      <c r="D23" s="138"/>
      <c r="F23" s="120" t="s">
        <v>229</v>
      </c>
      <c r="G23" s="121" t="s">
        <v>229</v>
      </c>
      <c r="H23" s="121" t="s">
        <v>228</v>
      </c>
      <c r="I23" s="120" t="s">
        <v>228</v>
      </c>
      <c r="J23" s="122" t="s">
        <v>204</v>
      </c>
      <c r="K23" s="122" t="s">
        <v>204</v>
      </c>
      <c r="L23" s="120" t="s">
        <v>203</v>
      </c>
      <c r="M23" s="120" t="s">
        <v>203</v>
      </c>
      <c r="N23" s="121" t="s">
        <v>203</v>
      </c>
      <c r="O23" s="121" t="s">
        <v>228</v>
      </c>
      <c r="P23" s="120" t="s">
        <v>228</v>
      </c>
      <c r="Q23" s="122" t="s">
        <v>204</v>
      </c>
      <c r="R23" s="122" t="s">
        <v>204</v>
      </c>
      <c r="S23" s="121" t="s">
        <v>203</v>
      </c>
      <c r="T23" s="122" t="s">
        <v>203</v>
      </c>
      <c r="U23" s="122" t="s">
        <v>203</v>
      </c>
      <c r="V23" s="120" t="s">
        <v>228</v>
      </c>
      <c r="W23" s="120" t="s">
        <v>228</v>
      </c>
      <c r="X23" s="121" t="s">
        <v>204</v>
      </c>
      <c r="Y23" s="121" t="s">
        <v>204</v>
      </c>
      <c r="Z23" s="121" t="s">
        <v>203</v>
      </c>
      <c r="AA23" s="122" t="s">
        <v>203</v>
      </c>
      <c r="AB23" s="122" t="s">
        <v>203</v>
      </c>
      <c r="AC23" s="120" t="s">
        <v>228</v>
      </c>
      <c r="AD23" s="120" t="s">
        <v>228</v>
      </c>
      <c r="AE23" s="121" t="s">
        <v>204</v>
      </c>
      <c r="AF23" s="121" t="s">
        <v>204</v>
      </c>
      <c r="AG23" s="120" t="s">
        <v>203</v>
      </c>
      <c r="AH23" s="122" t="s">
        <v>203</v>
      </c>
      <c r="AI23" s="122" t="s">
        <v>203</v>
      </c>
      <c r="AJ23" s="61"/>
      <c r="AL23" s="42">
        <f t="shared" si="0"/>
        <v>0</v>
      </c>
      <c r="AM23" s="42">
        <f t="shared" si="1"/>
        <v>12</v>
      </c>
      <c r="AN23" s="42">
        <f t="shared" si="2"/>
        <v>8</v>
      </c>
      <c r="AO23" s="42">
        <f t="shared" si="3"/>
        <v>0</v>
      </c>
      <c r="AP23" s="42">
        <f t="shared" si="4"/>
        <v>8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67" t="s">
        <v>91</v>
      </c>
      <c r="D25" s="168"/>
      <c r="E25" s="36"/>
      <c r="F25" s="37">
        <f>COUNTIF(F$5:F$21,"M*")</f>
        <v>4</v>
      </c>
      <c r="G25" s="37">
        <f t="shared" ref="G25:AJ25" si="5">COUNTIF(G$5:G$21,"M*")</f>
        <v>4</v>
      </c>
      <c r="H25" s="37">
        <f t="shared" si="5"/>
        <v>3</v>
      </c>
      <c r="I25" s="37">
        <f t="shared" si="5"/>
        <v>3</v>
      </c>
      <c r="J25" s="37">
        <f t="shared" si="5"/>
        <v>3</v>
      </c>
      <c r="K25" s="37">
        <f t="shared" si="5"/>
        <v>3</v>
      </c>
      <c r="L25" s="37">
        <f t="shared" si="5"/>
        <v>3</v>
      </c>
      <c r="M25" s="37">
        <f t="shared" si="5"/>
        <v>3</v>
      </c>
      <c r="N25" s="37">
        <f t="shared" si="5"/>
        <v>3</v>
      </c>
      <c r="O25" s="37">
        <f t="shared" si="5"/>
        <v>4</v>
      </c>
      <c r="P25" s="37">
        <f t="shared" si="5"/>
        <v>4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4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4</v>
      </c>
      <c r="AD25" s="37">
        <f t="shared" si="5"/>
        <v>4</v>
      </c>
      <c r="AE25" s="37">
        <f t="shared" si="5"/>
        <v>4</v>
      </c>
      <c r="AF25" s="37">
        <f t="shared" si="5"/>
        <v>4</v>
      </c>
      <c r="AG25" s="37">
        <f t="shared" si="5"/>
        <v>4</v>
      </c>
      <c r="AH25" s="37">
        <f t="shared" si="5"/>
        <v>3</v>
      </c>
      <c r="AI25" s="37">
        <f t="shared" si="5"/>
        <v>3</v>
      </c>
      <c r="AJ25" s="37">
        <f t="shared" si="5"/>
        <v>0</v>
      </c>
    </row>
    <row r="26" spans="2:42" ht="18.75" x14ac:dyDescent="0.3">
      <c r="C26" s="167" t="s">
        <v>92</v>
      </c>
      <c r="D26" s="168"/>
      <c r="E26" s="36"/>
      <c r="F26" s="37">
        <f>COUNTIF(F$5:F$21,"A*")</f>
        <v>3</v>
      </c>
      <c r="G26" s="37">
        <f t="shared" ref="G26:AJ26" si="6">COUNTIF(G$5:G$21,"A*")</f>
        <v>4</v>
      </c>
      <c r="H26" s="37">
        <f t="shared" si="6"/>
        <v>4</v>
      </c>
      <c r="I26" s="37">
        <f t="shared" si="6"/>
        <v>4</v>
      </c>
      <c r="J26" s="37">
        <f t="shared" si="6"/>
        <v>3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4</v>
      </c>
      <c r="Q26" s="37">
        <f t="shared" si="6"/>
        <v>3</v>
      </c>
      <c r="R26" s="37">
        <f t="shared" si="6"/>
        <v>3</v>
      </c>
      <c r="S26" s="37">
        <f t="shared" si="6"/>
        <v>4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4</v>
      </c>
      <c r="X26" s="37">
        <f t="shared" si="6"/>
        <v>3</v>
      </c>
      <c r="Y26" s="37">
        <f t="shared" si="6"/>
        <v>4</v>
      </c>
      <c r="Z26" s="37">
        <f t="shared" si="6"/>
        <v>4</v>
      </c>
      <c r="AA26" s="37">
        <f t="shared" si="6"/>
        <v>4</v>
      </c>
      <c r="AB26" s="37">
        <f t="shared" si="6"/>
        <v>3</v>
      </c>
      <c r="AC26" s="37">
        <f t="shared" si="6"/>
        <v>3</v>
      </c>
      <c r="AD26" s="37">
        <f t="shared" si="6"/>
        <v>3</v>
      </c>
      <c r="AE26" s="37">
        <f t="shared" si="6"/>
        <v>4</v>
      </c>
      <c r="AF26" s="37">
        <f t="shared" si="6"/>
        <v>4</v>
      </c>
      <c r="AG26" s="37">
        <f t="shared" si="6"/>
        <v>4</v>
      </c>
      <c r="AH26" s="37">
        <f t="shared" si="6"/>
        <v>4</v>
      </c>
      <c r="AI26" s="37">
        <f t="shared" si="6"/>
        <v>4</v>
      </c>
      <c r="AJ26" s="37">
        <f t="shared" si="6"/>
        <v>0</v>
      </c>
    </row>
    <row r="27" spans="2:42" ht="18.75" x14ac:dyDescent="0.3">
      <c r="C27" s="167" t="s">
        <v>72</v>
      </c>
      <c r="D27" s="168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4</v>
      </c>
      <c r="K27" s="37">
        <f t="shared" si="7"/>
        <v>4</v>
      </c>
      <c r="L27" s="37">
        <f t="shared" si="7"/>
        <v>3</v>
      </c>
      <c r="M27" s="37">
        <f t="shared" si="7"/>
        <v>3</v>
      </c>
      <c r="N27" s="37">
        <f t="shared" si="7"/>
        <v>3</v>
      </c>
      <c r="O27" s="37">
        <f t="shared" si="7"/>
        <v>4</v>
      </c>
      <c r="P27" s="37">
        <f t="shared" si="7"/>
        <v>3</v>
      </c>
      <c r="Q27" s="37">
        <f t="shared" si="7"/>
        <v>3</v>
      </c>
      <c r="R27" s="37">
        <f t="shared" si="7"/>
        <v>4</v>
      </c>
      <c r="S27" s="37">
        <f t="shared" si="7"/>
        <v>4</v>
      </c>
      <c r="T27" s="37">
        <f t="shared" si="7"/>
        <v>4</v>
      </c>
      <c r="U27" s="37">
        <f t="shared" si="7"/>
        <v>4</v>
      </c>
      <c r="V27" s="37">
        <f t="shared" si="7"/>
        <v>4</v>
      </c>
      <c r="W27" s="37">
        <f t="shared" si="7"/>
        <v>3</v>
      </c>
      <c r="X27" s="37">
        <f t="shared" si="7"/>
        <v>2</v>
      </c>
      <c r="Y27" s="37">
        <f t="shared" si="7"/>
        <v>3</v>
      </c>
      <c r="Z27" s="37">
        <f t="shared" si="7"/>
        <v>3</v>
      </c>
      <c r="AA27" s="37">
        <f t="shared" si="7"/>
        <v>4</v>
      </c>
      <c r="AB27" s="37">
        <f t="shared" si="7"/>
        <v>4</v>
      </c>
      <c r="AC27" s="37">
        <f t="shared" si="7"/>
        <v>3</v>
      </c>
      <c r="AD27" s="37">
        <f t="shared" si="7"/>
        <v>3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4</v>
      </c>
      <c r="AI27" s="37">
        <f t="shared" si="7"/>
        <v>4</v>
      </c>
      <c r="AJ27" s="37">
        <f t="shared" si="7"/>
        <v>0</v>
      </c>
    </row>
    <row r="28" spans="2:42" ht="18.75" x14ac:dyDescent="0.3">
      <c r="C28" s="167" t="s">
        <v>73</v>
      </c>
      <c r="D28" s="168"/>
      <c r="E28" s="36"/>
      <c r="F28" s="37">
        <f t="shared" ref="F28:AJ28" si="8">COUNTIF(F$5:F$23,"O*")</f>
        <v>6</v>
      </c>
      <c r="G28" s="37">
        <f t="shared" si="8"/>
        <v>6</v>
      </c>
      <c r="H28" s="37">
        <f t="shared" si="8"/>
        <v>8</v>
      </c>
      <c r="I28" s="37">
        <f t="shared" si="8"/>
        <v>8</v>
      </c>
      <c r="J28" s="37">
        <f t="shared" si="8"/>
        <v>6</v>
      </c>
      <c r="K28" s="37">
        <f t="shared" si="8"/>
        <v>6</v>
      </c>
      <c r="L28" s="37">
        <f t="shared" si="8"/>
        <v>7</v>
      </c>
      <c r="M28" s="37">
        <f t="shared" si="8"/>
        <v>6</v>
      </c>
      <c r="N28" s="37">
        <f t="shared" si="8"/>
        <v>6</v>
      </c>
      <c r="O28" s="37">
        <f t="shared" si="8"/>
        <v>8</v>
      </c>
      <c r="P28" s="37">
        <f t="shared" si="8"/>
        <v>8</v>
      </c>
      <c r="Q28" s="37">
        <f t="shared" si="8"/>
        <v>6</v>
      </c>
      <c r="R28" s="37">
        <f t="shared" si="8"/>
        <v>6</v>
      </c>
      <c r="S28" s="37">
        <f t="shared" si="8"/>
        <v>6</v>
      </c>
      <c r="T28" s="37">
        <f t="shared" si="8"/>
        <v>7</v>
      </c>
      <c r="U28" s="37">
        <f t="shared" si="8"/>
        <v>7</v>
      </c>
      <c r="V28" s="37">
        <f t="shared" si="8"/>
        <v>9</v>
      </c>
      <c r="W28" s="37">
        <f t="shared" si="8"/>
        <v>8</v>
      </c>
      <c r="X28" s="37">
        <f t="shared" si="8"/>
        <v>6</v>
      </c>
      <c r="Y28" s="37">
        <f t="shared" si="8"/>
        <v>6</v>
      </c>
      <c r="Z28" s="37">
        <f t="shared" si="8"/>
        <v>6</v>
      </c>
      <c r="AA28" s="37">
        <f t="shared" si="8"/>
        <v>6</v>
      </c>
      <c r="AB28" s="37">
        <f t="shared" si="8"/>
        <v>7</v>
      </c>
      <c r="AC28" s="37">
        <f t="shared" si="8"/>
        <v>9</v>
      </c>
      <c r="AD28" s="37">
        <f t="shared" si="8"/>
        <v>9</v>
      </c>
      <c r="AE28" s="37">
        <f t="shared" si="8"/>
        <v>6</v>
      </c>
      <c r="AF28" s="37">
        <f t="shared" si="8"/>
        <v>6</v>
      </c>
      <c r="AG28" s="37">
        <f t="shared" si="8"/>
        <v>6</v>
      </c>
      <c r="AH28" s="37">
        <f t="shared" si="8"/>
        <v>6</v>
      </c>
      <c r="AI28" s="37">
        <f t="shared" si="8"/>
        <v>6</v>
      </c>
      <c r="AJ28" s="37">
        <f t="shared" si="8"/>
        <v>0</v>
      </c>
    </row>
    <row r="29" spans="2:42" ht="18.75" x14ac:dyDescent="0.3">
      <c r="C29" s="167" t="s">
        <v>125</v>
      </c>
      <c r="D29" s="168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2</v>
      </c>
      <c r="R29" s="37">
        <f t="shared" si="10"/>
        <v>1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3</v>
      </c>
      <c r="Y29" s="37">
        <f t="shared" si="10"/>
        <v>1</v>
      </c>
      <c r="Z29" s="37">
        <f t="shared" si="10"/>
        <v>1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0</v>
      </c>
      <c r="AE29" s="37">
        <f t="shared" si="10"/>
        <v>0</v>
      </c>
      <c r="AF29" s="37">
        <f t="shared" si="10"/>
        <v>0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67" t="s">
        <v>106</v>
      </c>
      <c r="D30" s="168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0</v>
      </c>
      <c r="R30" s="37">
        <f t="shared" si="11"/>
        <v>0</v>
      </c>
      <c r="S30" s="37">
        <f t="shared" si="11"/>
        <v>0</v>
      </c>
      <c r="T30" s="37">
        <f t="shared" si="11"/>
        <v>0</v>
      </c>
      <c r="U30" s="37">
        <f t="shared" si="11"/>
        <v>0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0</v>
      </c>
      <c r="Z30" s="37">
        <f t="shared" si="11"/>
        <v>0</v>
      </c>
      <c r="AA30" s="37">
        <f t="shared" si="11"/>
        <v>0</v>
      </c>
      <c r="AB30" s="37">
        <f t="shared" si="11"/>
        <v>0</v>
      </c>
      <c r="AC30" s="37">
        <f t="shared" si="11"/>
        <v>0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0</v>
      </c>
      <c r="AH30" s="37">
        <f t="shared" si="11"/>
        <v>0</v>
      </c>
      <c r="AI30" s="37">
        <f t="shared" si="11"/>
        <v>0</v>
      </c>
      <c r="AJ30" s="37">
        <f t="shared" si="11"/>
        <v>0</v>
      </c>
    </row>
    <row r="31" spans="2:42" ht="18.75" x14ac:dyDescent="0.3">
      <c r="C31" s="242" t="s">
        <v>104</v>
      </c>
      <c r="D31" s="243"/>
      <c r="E31" s="38"/>
      <c r="F31" s="39">
        <f>F33-F34</f>
        <v>1</v>
      </c>
      <c r="G31" s="39">
        <f t="shared" ref="G31:AJ31" si="12">G33-G34</f>
        <v>2</v>
      </c>
      <c r="H31" s="39">
        <f t="shared" si="12"/>
        <v>1</v>
      </c>
      <c r="I31" s="39">
        <f t="shared" si="12"/>
        <v>1</v>
      </c>
      <c r="J31" s="39">
        <f t="shared" si="12"/>
        <v>1</v>
      </c>
      <c r="K31" s="39">
        <f t="shared" si="12"/>
        <v>1</v>
      </c>
      <c r="L31" s="39">
        <f t="shared" si="12"/>
        <v>0</v>
      </c>
      <c r="M31" s="39">
        <f t="shared" si="12"/>
        <v>0</v>
      </c>
      <c r="N31" s="39">
        <f t="shared" si="12"/>
        <v>0</v>
      </c>
      <c r="O31" s="39">
        <f t="shared" si="12"/>
        <v>2</v>
      </c>
      <c r="P31" s="39">
        <f t="shared" si="12"/>
        <v>2</v>
      </c>
      <c r="Q31" s="39">
        <f t="shared" si="12"/>
        <v>0</v>
      </c>
      <c r="R31" s="39">
        <f t="shared" si="12"/>
        <v>1</v>
      </c>
      <c r="S31" s="39">
        <f t="shared" si="12"/>
        <v>2</v>
      </c>
      <c r="T31" s="39">
        <f t="shared" si="12"/>
        <v>1</v>
      </c>
      <c r="U31" s="39">
        <f t="shared" si="12"/>
        <v>1</v>
      </c>
      <c r="V31" s="39">
        <f t="shared" si="12"/>
        <v>1</v>
      </c>
      <c r="W31" s="39">
        <f t="shared" si="12"/>
        <v>2</v>
      </c>
      <c r="X31" s="39">
        <f t="shared" si="12"/>
        <v>-1</v>
      </c>
      <c r="Y31" s="39">
        <f t="shared" si="12"/>
        <v>1</v>
      </c>
      <c r="Z31" s="39">
        <f t="shared" si="12"/>
        <v>1</v>
      </c>
      <c r="AA31" s="39">
        <f t="shared" si="12"/>
        <v>2</v>
      </c>
      <c r="AB31" s="39">
        <f t="shared" si="12"/>
        <v>1</v>
      </c>
      <c r="AC31" s="39">
        <f t="shared" si="12"/>
        <v>1</v>
      </c>
      <c r="AD31" s="39">
        <f t="shared" si="12"/>
        <v>1</v>
      </c>
      <c r="AE31" s="39">
        <f t="shared" si="12"/>
        <v>2</v>
      </c>
      <c r="AF31" s="39">
        <f t="shared" si="12"/>
        <v>2</v>
      </c>
      <c r="AG31" s="39">
        <f t="shared" si="12"/>
        <v>2</v>
      </c>
      <c r="AH31" s="39">
        <f t="shared" si="12"/>
        <v>2</v>
      </c>
      <c r="AI31" s="39">
        <f t="shared" si="12"/>
        <v>2</v>
      </c>
      <c r="AJ31" s="39">
        <f t="shared" si="12"/>
        <v>-9</v>
      </c>
    </row>
    <row r="32" spans="2:42" ht="9.75" customHeight="1" x14ac:dyDescent="0.3">
      <c r="C32" s="40"/>
      <c r="D32" s="40"/>
      <c r="E32" s="36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</row>
    <row r="33" spans="3:36" ht="18.75" x14ac:dyDescent="0.3">
      <c r="C33" s="167" t="s">
        <v>102</v>
      </c>
      <c r="D33" s="168"/>
      <c r="E33" s="36"/>
      <c r="F33" s="41">
        <f>SUM(F25:F27)</f>
        <v>10</v>
      </c>
      <c r="G33" s="41">
        <f t="shared" ref="G33:AJ33" si="13">SUM(G25:G27)</f>
        <v>11</v>
      </c>
      <c r="H33" s="41">
        <f t="shared" si="13"/>
        <v>10</v>
      </c>
      <c r="I33" s="41">
        <f t="shared" si="13"/>
        <v>10</v>
      </c>
      <c r="J33" s="41">
        <f t="shared" si="13"/>
        <v>10</v>
      </c>
      <c r="K33" s="41">
        <f t="shared" si="13"/>
        <v>10</v>
      </c>
      <c r="L33" s="41">
        <f t="shared" si="13"/>
        <v>9</v>
      </c>
      <c r="M33" s="41">
        <f t="shared" si="13"/>
        <v>9</v>
      </c>
      <c r="N33" s="41">
        <f t="shared" si="13"/>
        <v>9</v>
      </c>
      <c r="O33" s="41">
        <f t="shared" si="13"/>
        <v>11</v>
      </c>
      <c r="P33" s="41">
        <f t="shared" si="13"/>
        <v>11</v>
      </c>
      <c r="Q33" s="41">
        <f t="shared" si="13"/>
        <v>9</v>
      </c>
      <c r="R33" s="41">
        <f t="shared" si="13"/>
        <v>10</v>
      </c>
      <c r="S33" s="41">
        <f t="shared" si="13"/>
        <v>11</v>
      </c>
      <c r="T33" s="41">
        <f t="shared" si="13"/>
        <v>10</v>
      </c>
      <c r="U33" s="41">
        <f t="shared" si="13"/>
        <v>10</v>
      </c>
      <c r="V33" s="41">
        <f t="shared" si="13"/>
        <v>10</v>
      </c>
      <c r="W33" s="41">
        <f t="shared" si="13"/>
        <v>11</v>
      </c>
      <c r="X33" s="41">
        <f t="shared" si="13"/>
        <v>8</v>
      </c>
      <c r="Y33" s="41">
        <f t="shared" si="13"/>
        <v>10</v>
      </c>
      <c r="Z33" s="41">
        <f t="shared" si="13"/>
        <v>10</v>
      </c>
      <c r="AA33" s="41">
        <f t="shared" si="13"/>
        <v>11</v>
      </c>
      <c r="AB33" s="41">
        <f t="shared" si="13"/>
        <v>10</v>
      </c>
      <c r="AC33" s="41">
        <f t="shared" si="13"/>
        <v>10</v>
      </c>
      <c r="AD33" s="41">
        <f t="shared" si="13"/>
        <v>10</v>
      </c>
      <c r="AE33" s="41">
        <f t="shared" si="13"/>
        <v>11</v>
      </c>
      <c r="AF33" s="41">
        <f t="shared" si="13"/>
        <v>11</v>
      </c>
      <c r="AG33" s="41">
        <f t="shared" si="13"/>
        <v>11</v>
      </c>
      <c r="AH33" s="41">
        <f t="shared" si="13"/>
        <v>11</v>
      </c>
      <c r="AI33" s="41">
        <f t="shared" si="13"/>
        <v>11</v>
      </c>
      <c r="AJ33" s="41">
        <f t="shared" si="13"/>
        <v>0</v>
      </c>
    </row>
    <row r="34" spans="3:36" ht="18.75" x14ac:dyDescent="0.3">
      <c r="C34" s="167" t="s">
        <v>90</v>
      </c>
      <c r="D34" s="168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67" t="s">
        <v>103</v>
      </c>
      <c r="D35" s="168"/>
      <c r="E35" s="36"/>
      <c r="F35" s="37">
        <f>SUM(F25,F26,F27,F28,F30)</f>
        <v>16</v>
      </c>
      <c r="G35" s="37">
        <f t="shared" ref="G35:AJ35" si="14">SUM(G25,G26,G27,G28,G30)</f>
        <v>17</v>
      </c>
      <c r="H35" s="37">
        <f t="shared" si="14"/>
        <v>18</v>
      </c>
      <c r="I35" s="37">
        <f t="shared" si="14"/>
        <v>18</v>
      </c>
      <c r="J35" s="37">
        <f t="shared" si="14"/>
        <v>16</v>
      </c>
      <c r="K35" s="37">
        <f t="shared" si="14"/>
        <v>16</v>
      </c>
      <c r="L35" s="37">
        <f t="shared" si="14"/>
        <v>16</v>
      </c>
      <c r="M35" s="37">
        <f t="shared" si="14"/>
        <v>15</v>
      </c>
      <c r="N35" s="37">
        <f t="shared" si="14"/>
        <v>15</v>
      </c>
      <c r="O35" s="37">
        <f t="shared" si="14"/>
        <v>19</v>
      </c>
      <c r="P35" s="37">
        <f t="shared" si="14"/>
        <v>19</v>
      </c>
      <c r="Q35" s="37">
        <f t="shared" si="14"/>
        <v>15</v>
      </c>
      <c r="R35" s="37">
        <f t="shared" si="14"/>
        <v>16</v>
      </c>
      <c r="S35" s="37">
        <f t="shared" si="14"/>
        <v>17</v>
      </c>
      <c r="T35" s="37">
        <f t="shared" si="14"/>
        <v>17</v>
      </c>
      <c r="U35" s="37">
        <f t="shared" si="14"/>
        <v>17</v>
      </c>
      <c r="V35" s="37">
        <f t="shared" si="14"/>
        <v>19</v>
      </c>
      <c r="W35" s="37">
        <f t="shared" si="14"/>
        <v>19</v>
      </c>
      <c r="X35" s="37">
        <f t="shared" si="14"/>
        <v>14</v>
      </c>
      <c r="Y35" s="37">
        <f t="shared" si="14"/>
        <v>16</v>
      </c>
      <c r="Z35" s="37">
        <f t="shared" si="14"/>
        <v>16</v>
      </c>
      <c r="AA35" s="37">
        <f t="shared" si="14"/>
        <v>17</v>
      </c>
      <c r="AB35" s="37">
        <f t="shared" si="14"/>
        <v>17</v>
      </c>
      <c r="AC35" s="37">
        <f t="shared" si="14"/>
        <v>19</v>
      </c>
      <c r="AD35" s="37">
        <f t="shared" si="14"/>
        <v>19</v>
      </c>
      <c r="AE35" s="37">
        <f t="shared" si="14"/>
        <v>17</v>
      </c>
      <c r="AF35" s="37">
        <f t="shared" si="14"/>
        <v>17</v>
      </c>
      <c r="AG35" s="37">
        <f t="shared" si="14"/>
        <v>17</v>
      </c>
      <c r="AH35" s="37">
        <f t="shared" si="14"/>
        <v>17</v>
      </c>
      <c r="AI35" s="37">
        <f t="shared" si="14"/>
        <v>17</v>
      </c>
      <c r="AJ35" s="37">
        <f t="shared" si="14"/>
        <v>0</v>
      </c>
    </row>
    <row r="36" spans="3:36" ht="16.5" thickBot="1" x14ac:dyDescent="0.3"/>
    <row r="37" spans="3:36" ht="16.5" thickBot="1" x14ac:dyDescent="0.3">
      <c r="F37" s="190" t="s">
        <v>206</v>
      </c>
      <c r="G37" s="191"/>
      <c r="H37" s="192"/>
    </row>
    <row r="38" spans="3:36" x14ac:dyDescent="0.25">
      <c r="F38" s="66" t="s">
        <v>124</v>
      </c>
      <c r="G38" s="193" t="s">
        <v>202</v>
      </c>
      <c r="H38" s="194"/>
    </row>
    <row r="39" spans="3:36" x14ac:dyDescent="0.25">
      <c r="F39" s="67" t="s">
        <v>118</v>
      </c>
      <c r="G39" s="210" t="s">
        <v>203</v>
      </c>
      <c r="H39" s="237"/>
    </row>
    <row r="40" spans="3:36" x14ac:dyDescent="0.25">
      <c r="F40" s="68" t="s">
        <v>200</v>
      </c>
      <c r="G40" s="196" t="s">
        <v>204</v>
      </c>
      <c r="H40" s="197"/>
    </row>
    <row r="41" spans="3:36" x14ac:dyDescent="0.25">
      <c r="F41" s="69" t="s">
        <v>201</v>
      </c>
      <c r="G41" s="198" t="s">
        <v>205</v>
      </c>
      <c r="H41" s="199"/>
    </row>
    <row r="42" spans="3:36" x14ac:dyDescent="0.25">
      <c r="F42" s="70" t="s">
        <v>126</v>
      </c>
      <c r="G42" s="182" t="s">
        <v>208</v>
      </c>
      <c r="H42" s="183"/>
    </row>
    <row r="43" spans="3:36" x14ac:dyDescent="0.25">
      <c r="F43" s="71"/>
      <c r="G43" s="184" t="s">
        <v>207</v>
      </c>
      <c r="H43" s="185"/>
    </row>
    <row r="44" spans="3:36" ht="16.5" thickBot="1" x14ac:dyDescent="0.3">
      <c r="F44" s="72" t="s">
        <v>209</v>
      </c>
      <c r="G44" s="235" t="s">
        <v>210</v>
      </c>
      <c r="H44" s="236"/>
    </row>
  </sheetData>
  <mergeCells count="44">
    <mergeCell ref="G41:H41"/>
    <mergeCell ref="G42:H42"/>
    <mergeCell ref="G43:H43"/>
    <mergeCell ref="G44:H44"/>
    <mergeCell ref="F37:H37"/>
    <mergeCell ref="G38:H38"/>
    <mergeCell ref="G39:H39"/>
    <mergeCell ref="G40:H40"/>
    <mergeCell ref="C21:D21"/>
    <mergeCell ref="C31:D31"/>
    <mergeCell ref="F32:AJ32"/>
    <mergeCell ref="C33:D33"/>
    <mergeCell ref="C34:D34"/>
    <mergeCell ref="C35:D35"/>
    <mergeCell ref="C25:D25"/>
    <mergeCell ref="C26:D26"/>
    <mergeCell ref="C27:D27"/>
    <mergeCell ref="C28:D28"/>
    <mergeCell ref="C30:D30"/>
    <mergeCell ref="C29:D29"/>
    <mergeCell ref="C17:D17"/>
    <mergeCell ref="C18:D18"/>
    <mergeCell ref="C10:D10"/>
    <mergeCell ref="C11:D11"/>
    <mergeCell ref="C12:D12"/>
    <mergeCell ref="C13:D13"/>
    <mergeCell ref="C14:D14"/>
    <mergeCell ref="C15:D15"/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</mergeCells>
  <phoneticPr fontId="14" type="noConversion"/>
  <conditionalFormatting sqref="F5:AJ23">
    <cfRule type="containsText" dxfId="118" priority="1" operator="containsText" text="STMN06">
      <formula>NOT(ISERROR(SEARCH("STMN06",F5)))</formula>
    </cfRule>
    <cfRule type="containsText" dxfId="117" priority="2" operator="containsText" text="STAN13">
      <formula>NOT(ISERROR(SEARCH("STAN13",F5)))</formula>
    </cfRule>
    <cfRule type="containsText" dxfId="116" priority="3" operator="containsText" text="STNN21">
      <formula>NOT(ISERROR(SEARCH("STNN21",F5)))</formula>
    </cfRule>
    <cfRule type="containsText" dxfId="115" priority="4" operator="containsText" text="LV">
      <formula>NOT(ISERROR(SEARCH("LV",F5)))</formula>
    </cfRule>
    <cfRule type="containsText" dxfId="114" priority="5" operator="containsText" text="TR">
      <formula>NOT(ISERROR(SEARCH("TR",F5)))</formula>
    </cfRule>
    <cfRule type="containsText" dxfId="113" priority="6" operator="containsText" text="NN21">
      <formula>NOT(ISERROR(SEARCH("NN21",F5)))</formula>
    </cfRule>
    <cfRule type="containsText" dxfId="112" priority="7" operator="containsText" text="NN13">
      <formula>NOT(ISERROR(SEARCH("NN13",F5)))</formula>
    </cfRule>
    <cfRule type="containsText" dxfId="111" priority="8" operator="containsText" text="AN13">
      <formula>NOT(ISERROR(SEARCH("AN13",F5)))</formula>
    </cfRule>
    <cfRule type="containsText" dxfId="110" priority="9" operator="containsText" text="MN06">
      <formula>NOT(ISERROR(SEARCH("MN06",F5)))</formula>
    </cfRule>
    <cfRule type="containsText" dxfId="109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45" t="s">
        <v>116</v>
      </c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K2" s="179" t="s">
        <v>111</v>
      </c>
      <c r="AL2" s="179" t="s">
        <v>112</v>
      </c>
      <c r="AM2" s="179" t="s">
        <v>115</v>
      </c>
      <c r="AN2" s="179" t="s">
        <v>113</v>
      </c>
      <c r="AO2" s="179" t="s">
        <v>114</v>
      </c>
    </row>
    <row r="3" spans="2:41" ht="39" x14ac:dyDescent="0.3">
      <c r="B3" s="246" t="s">
        <v>105</v>
      </c>
      <c r="C3" s="247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80"/>
      <c r="AL3" s="180"/>
      <c r="AM3" s="180"/>
      <c r="AN3" s="180"/>
      <c r="AO3" s="180"/>
    </row>
    <row r="4" spans="2:41" ht="19.5" thickBot="1" x14ac:dyDescent="0.35">
      <c r="B4" s="248"/>
      <c r="C4" s="249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81"/>
      <c r="AL4" s="181"/>
      <c r="AM4" s="181"/>
      <c r="AN4" s="181"/>
      <c r="AO4" s="181"/>
    </row>
    <row r="5" spans="2:41" ht="18.75" x14ac:dyDescent="0.25">
      <c r="B5" s="244" t="s">
        <v>79</v>
      </c>
      <c r="C5" s="244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44" t="s">
        <v>80</v>
      </c>
      <c r="C6" s="244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44" t="s">
        <v>81</v>
      </c>
      <c r="C7" s="244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44" t="s">
        <v>82</v>
      </c>
      <c r="C8" s="244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44" t="s">
        <v>83</v>
      </c>
      <c r="C9" s="244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44" t="s">
        <v>84</v>
      </c>
      <c r="C10" s="244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44" t="s">
        <v>85</v>
      </c>
      <c r="C11" s="244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44" t="s">
        <v>86</v>
      </c>
      <c r="C12" s="244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44" t="s">
        <v>87</v>
      </c>
      <c r="C13" s="244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44" t="s">
        <v>88</v>
      </c>
      <c r="C14" s="244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44" t="s">
        <v>89</v>
      </c>
      <c r="C15" s="244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71" t="s">
        <v>91</v>
      </c>
      <c r="C17" s="171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71" t="s">
        <v>92</v>
      </c>
      <c r="C18" s="171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71" t="s">
        <v>72</v>
      </c>
      <c r="C19" s="171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71" t="s">
        <v>73</v>
      </c>
      <c r="C20" s="171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67" t="s">
        <v>106</v>
      </c>
      <c r="C21" s="168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69" t="s">
        <v>104</v>
      </c>
      <c r="C22" s="169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</row>
    <row r="24" spans="2:35" ht="18.75" x14ac:dyDescent="0.3">
      <c r="B24" s="171" t="s">
        <v>102</v>
      </c>
      <c r="C24" s="171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71" t="s">
        <v>90</v>
      </c>
      <c r="C25" s="171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71" t="s">
        <v>103</v>
      </c>
      <c r="C26" s="171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108" priority="23" operator="containsText" text="STN">
      <formula>NOT(ISERROR(SEARCH("STN",E5)))</formula>
    </cfRule>
    <cfRule type="containsText" dxfId="107" priority="24" operator="containsText" text="STN">
      <formula>NOT(ISERROR(SEARCH("STN",E5)))</formula>
    </cfRule>
    <cfRule type="containsText" dxfId="106" priority="25" operator="containsText" text="STM">
      <formula>NOT(ISERROR(SEARCH("STM",E5)))</formula>
    </cfRule>
    <cfRule type="containsText" dxfId="105" priority="26" operator="containsText" text="M">
      <formula>NOT(ISERROR(SEARCH("M",E5)))</formula>
    </cfRule>
    <cfRule type="containsText" dxfId="104" priority="27" operator="containsText" text="STM1">
      <formula>NOT(ISERROR(SEARCH("STM1",E5)))</formula>
    </cfRule>
    <cfRule type="containsText" dxfId="103" priority="28" operator="containsText" text="M">
      <formula>NOT(ISERROR(SEARCH("M",E5)))</formula>
    </cfRule>
    <cfRule type="containsText" dxfId="102" priority="29" operator="containsText" text="STM">
      <formula>NOT(ISERROR(SEARCH("STM",E5)))</formula>
    </cfRule>
    <cfRule type="containsText" dxfId="101" priority="30" operator="containsText" text="STM">
      <formula>NOT(ISERROR(SEARCH("STM",E5)))</formula>
    </cfRule>
  </conditionalFormatting>
  <conditionalFormatting sqref="E5:AH15">
    <cfRule type="containsText" dxfId="100" priority="19" operator="containsText" text="A">
      <formula>NOT(ISERROR(SEARCH("A",E5)))</formula>
    </cfRule>
    <cfRule type="containsText" dxfId="99" priority="5" operator="containsText" text="STM1">
      <formula>NOT(ISERROR(SEARCH("STM1",E5)))</formula>
    </cfRule>
  </conditionalFormatting>
  <conditionalFormatting sqref="E11:AH15">
    <cfRule type="containsText" dxfId="98" priority="16" operator="containsText" text="STM1">
      <formula>NOT(ISERROR(SEARCH("STM1",E11)))</formula>
    </cfRule>
    <cfRule type="containsText" dxfId="97" priority="17" operator="containsText" text="O">
      <formula>NOT(ISERROR(SEARCH("O",E11)))</formula>
    </cfRule>
    <cfRule type="containsText" dxfId="96" priority="18" operator="containsText" text="N">
      <formula>NOT(ISERROR(SEARCH("N",E11)))</formula>
    </cfRule>
    <cfRule type="containsText" dxfId="95" priority="6" operator="containsText" text="STN">
      <formula>NOT(ISERROR(SEARCH("STN",E11)))</formula>
    </cfRule>
    <cfRule type="containsText" dxfId="94" priority="7" operator="containsText" text="STN">
      <formula>NOT(ISERROR(SEARCH("STN",E11)))</formula>
    </cfRule>
    <cfRule type="containsText" dxfId="93" priority="8" operator="containsText" text="STM">
      <formula>NOT(ISERROR(SEARCH("STM",E11)))</formula>
    </cfRule>
    <cfRule type="containsText" dxfId="92" priority="9" operator="containsText" text="M">
      <formula>NOT(ISERROR(SEARCH("M",E11)))</formula>
    </cfRule>
    <cfRule type="containsText" dxfId="91" priority="10" operator="containsText" text="STM1">
      <formula>NOT(ISERROR(SEARCH("STM1",E11)))</formula>
    </cfRule>
    <cfRule type="containsText" dxfId="90" priority="11" operator="containsText" text="M">
      <formula>NOT(ISERROR(SEARCH("M",E11)))</formula>
    </cfRule>
    <cfRule type="containsText" dxfId="89" priority="12" operator="containsText" text="STM">
      <formula>NOT(ISERROR(SEARCH("STM",E11)))</formula>
    </cfRule>
    <cfRule type="containsText" dxfId="88" priority="13" operator="containsText" text="STM">
      <formula>NOT(ISERROR(SEARCH("STM",E11)))</formula>
    </cfRule>
    <cfRule type="containsText" dxfId="87" priority="14" operator="containsText" text="STM1">
      <formula>NOT(ISERROR(SEARCH("STM1",E11)))</formula>
    </cfRule>
    <cfRule type="containsText" dxfId="86" priority="15" operator="containsText" text="STA">
      <formula>NOT(ISERROR(SEARCH("STA",E11)))</formula>
    </cfRule>
    <cfRule type="containsText" dxfId="85" priority="20" operator="containsText" text="M">
      <formula>NOT(ISERROR(SEARCH("M",E11)))</formula>
    </cfRule>
  </conditionalFormatting>
  <conditionalFormatting sqref="E5:AI15">
    <cfRule type="containsText" dxfId="84" priority="3" operator="containsText" text="STM1">
      <formula>NOT(ISERROR(SEARCH("STM1",E5)))</formula>
    </cfRule>
    <cfRule type="containsText" dxfId="83" priority="4" operator="containsText" text="STM1">
      <formula>NOT(ISERROR(SEARCH("STM1",E5)))</formula>
    </cfRule>
    <cfRule type="containsText" dxfId="82" priority="1" operator="containsText" text="STN">
      <formula>NOT(ISERROR(SEARCH("STN",E5)))</formula>
    </cfRule>
    <cfRule type="containsText" dxfId="81" priority="2" operator="containsText" text="STA">
      <formula>NOT(ISERROR(SEARCH("STA",E5)))</formula>
    </cfRule>
  </conditionalFormatting>
  <conditionalFormatting sqref="F5:AH5 E6:AH10">
    <cfRule type="containsText" dxfId="80" priority="31" operator="containsText" text="STM1">
      <formula>NOT(ISERROR(SEARCH("STM1",E5)))</formula>
    </cfRule>
    <cfRule type="containsText" dxfId="79" priority="32" operator="containsText" text="STA">
      <formula>NOT(ISERROR(SEARCH("STA",E5)))</formula>
    </cfRule>
    <cfRule type="containsText" dxfId="78" priority="33" operator="containsText" text="STM1">
      <formula>NOT(ISERROR(SEARCH("STM1",E5)))</formula>
    </cfRule>
    <cfRule type="containsText" dxfId="77" priority="34" operator="containsText" text="O">
      <formula>NOT(ISERROR(SEARCH("O",E5)))</formula>
    </cfRule>
    <cfRule type="containsText" dxfId="76" priority="35" operator="containsText" text="N">
      <formula>NOT(ISERROR(SEARCH("N",E5)))</formula>
    </cfRule>
    <cfRule type="containsText" dxfId="75" priority="36" operator="containsText" text="A">
      <formula>NOT(ISERROR(SEARCH("A",E5)))</formula>
    </cfRule>
    <cfRule type="containsText" dxfId="74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2026-03-31T06:17:03Z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